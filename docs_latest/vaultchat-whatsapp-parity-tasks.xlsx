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</sheets>
  <definedNames>
    <definedName name="_xlnm._FilterDatabase" localSheetId="1" hidden="1">'Tasks'!$A$1:$K$113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666666"/>
      <sz val="9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E36C0A"/>
      <sz val="10"/>
    </font>
    <font>
      <name val="Arial"/>
      <charset val="1"/>
      <family val="0"/>
      <b val="1"/>
      <color rgb="FF806000"/>
      <sz val="10"/>
    </font>
    <font>
      <name val="Arial"/>
      <charset val="1"/>
      <family val="0"/>
      <b val="1"/>
      <color rgb="FF595959"/>
      <sz val="10"/>
    </font>
    <font>
      <b val="1"/>
    </font>
    <font>
      <color rgb="00006100"/>
    </font>
    <font>
      <color rgb="009C5700"/>
    </font>
    <font>
      <color rgb="009C0006"/>
    </font>
  </fonts>
  <fills count="12">
    <fill>
      <patternFill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DEBF7"/>
        <bgColor rgb="FFD9E2F3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DE7F6"/>
        <bgColor rgb="FFDDEBF7"/>
      </patternFill>
    </fill>
    <fill>
      <patternFill patternType="solid">
        <fgColor rgb="FFD9E2F3"/>
        <bgColor rgb="FFDDEBF7"/>
      </patternFill>
    </fill>
    <fill>
      <patternFill patternType="solid">
        <fgColor rgb="FF1F2A44"/>
        <bgColor rgb="FF0033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9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5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16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vertical="top" wrapText="1"/>
    </xf>
    <xf numFmtId="0" fontId="12" fillId="0" borderId="1" applyAlignment="1" pivotButton="0" quotePrefix="0" xfId="0">
      <alignment horizontal="center" vertical="top"/>
    </xf>
    <xf numFmtId="0" fontId="17" fillId="1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center" vertical="top"/>
    </xf>
    <xf numFmtId="0" fontId="18" fillId="11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806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36C0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0C0C0"/>
      <rgbColor rgb="FF595959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EDE7F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36C0A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7" min="1" max="1"/>
    <col width="12" customWidth="1" style="27" min="2" max="2"/>
  </cols>
  <sheetData>
    <row r="1" ht="17.35" customHeight="1" s="28">
      <c r="A1" s="29" t="inlineStr">
        <is>
          <t>VaultChat -&gt; WhatsApp Parity Task Plan</t>
        </is>
      </c>
    </row>
    <row r="2" ht="15" customHeight="1" s="28">
      <c r="A2" s="30" t="inlineStr">
        <is>
          <t>Scope: speed, data flow, storage, data fetching, UI elements, UX on the current locked stack (RN/Expo + libsignal-rn + Fastify/Socket.IO + PG17 + Redis/BullMQ + R2 + op-sqlite).</t>
        </is>
      </c>
    </row>
    <row r="3" ht="15" customHeight="1" s="28">
      <c r="A3" s="31" t="inlineStr">
        <is>
          <t>Total tasks:</t>
        </is>
      </c>
      <c r="B3" s="31">
        <f>COUNTA(Tasks!A2:A113)</f>
        <v/>
      </c>
    </row>
    <row r="5" ht="15" customHeight="1" s="28">
      <c r="A5" s="31" t="inlineStr">
        <is>
          <t>By Priority</t>
        </is>
      </c>
    </row>
    <row r="6" ht="15" customHeight="1" s="28">
      <c r="A6" s="32" t="inlineStr">
        <is>
          <t>P0 - Launch blocking / do first</t>
        </is>
      </c>
      <c r="B6" s="32">
        <f>COUNTIF(Tasks!G2:G113,"P0")</f>
        <v/>
      </c>
    </row>
    <row r="7" ht="15" customHeight="1" s="28">
      <c r="A7" s="32" t="inlineStr">
        <is>
          <t>P1 - Pre-launch parity</t>
        </is>
      </c>
      <c r="B7" s="32">
        <f>COUNTIF(Tasks!G2:G113,"P1")</f>
        <v/>
      </c>
    </row>
    <row r="8" ht="15" customHeight="1" s="28">
      <c r="A8" s="32" t="inlineStr">
        <is>
          <t>P2 - Fast follow</t>
        </is>
      </c>
      <c r="B8" s="32">
        <f>COUNTIF(Tasks!G2:G113,"P2")</f>
        <v/>
      </c>
    </row>
    <row r="9" ht="15" customHeight="1" s="28">
      <c r="A9" s="32" t="inlineStr">
        <is>
          <t>P3 - Post-launch</t>
        </is>
      </c>
      <c r="B9" s="32">
        <f>COUNTIF(Tasks!G2:G113,"P3")</f>
        <v/>
      </c>
    </row>
    <row r="11" ht="15" customHeight="1" s="28">
      <c r="A11" s="31" t="inlineStr">
        <is>
          <t>By Category</t>
        </is>
      </c>
    </row>
    <row r="12" ht="15" customHeight="1" s="28">
      <c r="A12" s="33" t="inlineStr">
        <is>
          <t>Speed</t>
        </is>
      </c>
      <c r="B12" s="32">
        <f>COUNTIF(Tasks!B2:B113,"Speed")</f>
        <v/>
      </c>
    </row>
    <row r="13" ht="15" customHeight="1" s="28">
      <c r="A13" s="34" t="inlineStr">
        <is>
          <t>Data Flow</t>
        </is>
      </c>
      <c r="B13" s="32">
        <f>COUNTIF(Tasks!B2:B113,"Data Flow")</f>
        <v/>
      </c>
    </row>
    <row r="14" ht="15" customHeight="1" s="28">
      <c r="A14" s="35" t="inlineStr">
        <is>
          <t>Storage</t>
        </is>
      </c>
      <c r="B14" s="32">
        <f>COUNTIF(Tasks!B2:B113,"Storage")</f>
        <v/>
      </c>
    </row>
    <row r="15" ht="15" customHeight="1" s="28">
      <c r="A15" s="36" t="inlineStr">
        <is>
          <t>Data Fetching</t>
        </is>
      </c>
      <c r="B15" s="32">
        <f>COUNTIF(Tasks!B2:B113,"Data Fetching")</f>
        <v/>
      </c>
    </row>
    <row r="16" ht="15" customHeight="1" s="28">
      <c r="A16" s="37" t="inlineStr">
        <is>
          <t>UI Elements</t>
        </is>
      </c>
      <c r="B16" s="32">
        <f>COUNTIF(Tasks!B2:B113,"UI Elements")</f>
        <v/>
      </c>
    </row>
    <row r="17" ht="15" customHeight="1" s="28">
      <c r="A17" s="38" t="inlineStr">
        <is>
          <t>UX</t>
        </is>
      </c>
      <c r="B17" s="32">
        <f>COUNTIF(Tasks!B2:B113,"UX")</f>
        <v/>
      </c>
    </row>
    <row r="19" ht="15" customHeight="1" s="28">
      <c r="A19" s="31" t="inlineStr">
        <is>
          <t>By Track</t>
        </is>
      </c>
    </row>
    <row r="20" ht="15" customHeight="1" s="28">
      <c r="A20" s="32" t="inlineStr">
        <is>
          <t>Track A</t>
        </is>
      </c>
      <c r="B20" s="32">
        <f>COUNTIF(Tasks!I2:I113,"Track A")</f>
        <v/>
      </c>
    </row>
    <row r="21" ht="15" customHeight="1" s="28">
      <c r="A21" s="32" t="inlineStr">
        <is>
          <t>Track E</t>
        </is>
      </c>
      <c r="B21" s="32">
        <f>COUNTIF(Tasks!I2:I113,"Track E")</f>
        <v/>
      </c>
    </row>
    <row r="22" ht="15" customHeight="1" s="28">
      <c r="A22" s="32" t="inlineStr">
        <is>
          <t>Track F</t>
        </is>
      </c>
      <c r="B22" s="32">
        <f>COUNTIF(Tasks!I2:I113,"Track F")</f>
        <v/>
      </c>
    </row>
    <row r="23" ht="15" customHeight="1" s="28">
      <c r="A23" s="32" t="inlineStr">
        <is>
          <t>Infra</t>
        </is>
      </c>
      <c r="B23" s="32">
        <f>COUNTIF(Tasks!I2:I113,"Infra")</f>
        <v/>
      </c>
    </row>
    <row r="24" ht="15" customHeight="1" s="28">
      <c r="A24" s="32" t="inlineStr">
        <is>
          <t>Later</t>
        </is>
      </c>
      <c r="B24" s="32">
        <f>COUNTIF(Tasks!I2:I113,"Later")</f>
        <v/>
      </c>
    </row>
    <row r="26" ht="15" customHeight="1" s="28">
      <c r="A26" s="39" t="inlineStr">
        <is>
          <t>Status: Done</t>
        </is>
      </c>
      <c r="B26" s="27" t="n">
        <v>33</v>
      </c>
    </row>
    <row r="27" ht="15" customHeight="1" s="28">
      <c r="A27" s="39" t="inlineStr">
        <is>
          <t>% Complete</t>
        </is>
      </c>
      <c r="B27" s="40" t="inlineStr">
        <is>
          <t>29.5%</t>
        </is>
      </c>
    </row>
    <row r="29" ht="15" customHeight="1" s="28">
      <c r="A29" s="30" t="inlineStr">
        <is>
          <t>Recommended order: 1) All Track A P0 rows  2) Mumbai migration  3) Track E media pipeline  4) Retention decision + backup path  5) Track F (Status/E2EE UX)  6) P2/P3 fast-follows.</t>
        </is>
      </c>
    </row>
    <row r="31">
      <c r="A31" s="41" t="inlineStr">
        <is>
          <t>VERIFIED STATUS vs SOURCE (2026-07-09)</t>
        </is>
      </c>
    </row>
    <row r="32">
      <c r="A32" s="42" t="inlineStr">
        <is>
          <t>Done</t>
        </is>
      </c>
      <c r="B32" s="27" t="n">
        <v>33</v>
      </c>
    </row>
    <row r="33">
      <c r="A33" s="43" t="inlineStr">
        <is>
          <t>Partial</t>
        </is>
      </c>
      <c r="B33" s="27" t="n">
        <v>57</v>
      </c>
    </row>
    <row r="34">
      <c r="A34" s="44" t="inlineStr">
        <is>
          <t>Not Started</t>
        </is>
      </c>
      <c r="B34" s="27" t="n">
        <v>22</v>
      </c>
    </row>
    <row r="35">
      <c r="A35" s="27" t="inlineStr">
        <is>
          <t>Total</t>
        </is>
      </c>
      <c r="B35" s="27" t="n">
        <v>112</v>
      </c>
    </row>
    <row r="36">
      <c r="A36" s="27" t="inlineStr">
        <is>
          <t>See docs_latest/parity-status-vs-source.md for evidence + critical findings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7" min="1" max="1"/>
    <col width="13" customWidth="1" style="27" min="2" max="3"/>
    <col width="32" customWidth="1" style="27" min="4" max="4"/>
    <col width="52" customWidth="1" style="27" min="5" max="5"/>
    <col width="34" customWidth="1" style="27" min="6" max="6"/>
    <col width="8" customWidth="1" style="27" min="7" max="7"/>
    <col width="7" customWidth="1" style="27" min="8" max="8"/>
    <col width="9" customWidth="1" style="27" min="9" max="9"/>
    <col width="20" customWidth="1" style="27" min="10" max="10"/>
    <col width="12" customWidth="1" style="27" min="11" max="11"/>
    <col width="60" customWidth="1" style="28" min="12" max="12"/>
    <col width="70" customWidth="1" style="28" min="13" max="13"/>
    <col width="20" customWidth="1" style="28" min="14" max="14"/>
  </cols>
  <sheetData>
    <row r="1" ht="15" customHeight="1" s="28">
      <c r="A1" s="45" t="inlineStr">
        <is>
          <t>ID</t>
        </is>
      </c>
      <c r="B1" s="45" t="inlineStr">
        <is>
          <t>Category</t>
        </is>
      </c>
      <c r="C1" s="45" t="inlineStr">
        <is>
          <t>Sub-Area</t>
        </is>
      </c>
      <c r="D1" s="45" t="inlineStr">
        <is>
          <t>Task</t>
        </is>
      </c>
      <c r="E1" s="45" t="inlineStr">
        <is>
          <t>Description / Acceptance Criteria</t>
        </is>
      </c>
      <c r="F1" s="45" t="inlineStr">
        <is>
          <t>WhatsApp Reference Behavior</t>
        </is>
      </c>
      <c r="G1" s="45" t="inlineStr">
        <is>
          <t>Priority</t>
        </is>
      </c>
      <c r="H1" s="45" t="inlineStr">
        <is>
          <t>Effort</t>
        </is>
      </c>
      <c r="I1" s="45" t="inlineStr">
        <is>
          <t>Track</t>
        </is>
      </c>
      <c r="J1" s="45" t="inlineStr">
        <is>
          <t>Dependencies</t>
        </is>
      </c>
      <c r="K1" s="45" t="inlineStr">
        <is>
          <t>Status</t>
        </is>
      </c>
      <c r="L1" s="41" t="inlineStr">
        <is>
          <t>Evidence (file:line)</t>
        </is>
      </c>
      <c r="M1" s="41" t="inlineStr">
        <is>
          <t>Gap / Notes</t>
        </is>
      </c>
      <c r="N1" s="41" t="inlineStr">
        <is>
          <t>Verified</t>
        </is>
      </c>
    </row>
    <row r="2" ht="35.05" customHeight="1" s="28">
      <c r="A2" s="46" t="inlineStr">
        <is>
          <t>VC-001</t>
        </is>
      </c>
      <c r="B2" s="47" t="inlineStr">
        <is>
          <t>Speed</t>
        </is>
      </c>
      <c r="C2" s="48" t="inlineStr">
        <is>
          <t>Transport</t>
        </is>
      </c>
      <c r="D2" s="48" t="inlineStr">
        <is>
          <t>Diagnose Socket.IO transport in production</t>
        </is>
      </c>
      <c r="E2" s="48" t="inlineStr">
        <is>
          <t>Log engine.io transport per connection; confirm % stuck on HTTP long-polling vs websocket. Capture upgrade failure reason.</t>
        </is>
      </c>
      <c r="F2" s="48" t="inlineStr">
        <is>
          <t>Persistent binary TCP/TLS socket, always connected</t>
        </is>
      </c>
      <c r="G2" s="49" t="inlineStr">
        <is>
          <t>P0</t>
        </is>
      </c>
      <c r="H2" s="50" t="inlineStr">
        <is>
          <t>S</t>
        </is>
      </c>
      <c r="I2" s="48" t="inlineStr">
        <is>
          <t>Track A</t>
        </is>
      </c>
      <c r="J2" s="48" t="n"/>
      <c r="K2" s="51" t="inlineStr">
        <is>
          <t>Done</t>
        </is>
      </c>
      <c r="L2" s="52" t="inlineStr">
        <is>
          <t>lib/socket.ts:83-95; lib/perf.ts:69-72</t>
        </is>
      </c>
      <c r="M2" s="52" t="inlineStr"/>
      <c r="N2" s="27" t="inlineStr">
        <is>
          <t>2026-07-09 vs source</t>
        </is>
      </c>
    </row>
    <row r="3" ht="35.05" customHeight="1" s="28">
      <c r="A3" s="46" t="inlineStr">
        <is>
          <t>VC-002</t>
        </is>
      </c>
      <c r="B3" s="47" t="inlineStr">
        <is>
          <t>Speed</t>
        </is>
      </c>
      <c r="C3" s="48" t="inlineStr">
        <is>
          <t>Transport</t>
        </is>
      </c>
      <c r="D3" s="48" t="inlineStr">
        <is>
          <t>Fix WebSocket upgrade path</t>
        </is>
      </c>
      <c r="E3" s="48" t="inlineStr">
        <is>
          <t>Nginx/proxy must pass Upgrade/Connection headers; correct timeouts; client transports=['websocket'] with polling fallback only as last resort. Acceptance: &gt;95% sessions on websocket.</t>
        </is>
      </c>
      <c r="F3" s="48" t="inlineStr">
        <is>
          <t>N/A (native socket)</t>
        </is>
      </c>
      <c r="G3" s="49" t="inlineStr">
        <is>
          <t>P0</t>
        </is>
      </c>
      <c r="H3" s="50" t="inlineStr">
        <is>
          <t>S</t>
        </is>
      </c>
      <c r="I3" s="48" t="inlineStr">
        <is>
          <t>Track A</t>
        </is>
      </c>
      <c r="J3" s="48" t="inlineStr">
        <is>
          <t>Diagnose transport</t>
        </is>
      </c>
      <c r="K3" s="51" t="inlineStr">
        <is>
          <t>Done</t>
        </is>
      </c>
      <c r="L3" s="52" t="inlineStr">
        <is>
          <t>lib/socket.ts:71; DEPLOY_HETZNER.md:150-156</t>
        </is>
      </c>
      <c r="M3" s="52" t="inlineStr">
        <is>
          <t>nginx conf lives in a deploy doc, not a committed .conf</t>
        </is>
      </c>
      <c r="N3" s="27" t="inlineStr">
        <is>
          <t>2026-07-09 vs source</t>
        </is>
      </c>
    </row>
    <row r="4" ht="23.85" customHeight="1" s="28">
      <c r="A4" s="46" t="inlineStr">
        <is>
          <t>VC-003</t>
        </is>
      </c>
      <c r="B4" s="47" t="inlineStr">
        <is>
          <t>Speed</t>
        </is>
      </c>
      <c r="C4" s="48" t="inlineStr">
        <is>
          <t>Transport</t>
        </is>
      </c>
      <c r="D4" s="48" t="inlineStr">
        <is>
          <t>Sticky sessions / single-origin socket routing</t>
        </is>
      </c>
      <c r="E4" s="48" t="inlineStr">
        <is>
          <t>Ensure load balancer routes a session to one node, or move fanout to Redis adapter so any node can deliver.</t>
        </is>
      </c>
      <c r="F4" s="48" t="inlineStr">
        <is>
          <t>Single logical connection per device</t>
        </is>
      </c>
      <c r="G4" s="49" t="inlineStr">
        <is>
          <t>P0</t>
        </is>
      </c>
      <c r="H4" s="50" t="inlineStr">
        <is>
          <t>S</t>
        </is>
      </c>
      <c r="I4" s="48" t="inlineStr">
        <is>
          <t>Track A</t>
        </is>
      </c>
      <c r="J4" s="48" t="n"/>
      <c r="K4" s="51" t="inlineStr">
        <is>
          <t>Done</t>
        </is>
      </c>
      <c r="L4" s="52" t="inlineStr">
        <is>
          <t>vaultchat-backend/server.js:66-82; docker-compose.yml:102</t>
        </is>
      </c>
      <c r="M4" s="52" t="inlineStr"/>
      <c r="N4" s="27" t="inlineStr">
        <is>
          <t>2026-07-09 vs source</t>
        </is>
      </c>
    </row>
    <row r="5" ht="23.85" customHeight="1" s="28">
      <c r="A5" s="46" t="inlineStr">
        <is>
          <t>VC-004</t>
        </is>
      </c>
      <c r="B5" s="47" t="inlineStr">
        <is>
          <t>Speed</t>
        </is>
      </c>
      <c r="C5" s="48" t="inlineStr">
        <is>
          <t>Transport</t>
        </is>
      </c>
      <c r="D5" s="48" t="inlineStr">
        <is>
          <t>Redis pub/sub adapter for cross-instance fanout</t>
        </is>
      </c>
      <c r="E5" s="48" t="inlineStr">
        <is>
          <t>socket.io-redis adapter so delivery works regardless of which node holds the recipient socket.</t>
        </is>
      </c>
      <c r="F5" s="48" t="inlineStr">
        <is>
          <t>Server-side routing layer</t>
        </is>
      </c>
      <c r="G5" s="53" t="inlineStr">
        <is>
          <t>P1</t>
        </is>
      </c>
      <c r="H5" s="50" t="inlineStr">
        <is>
          <t>M</t>
        </is>
      </c>
      <c r="I5" s="48" t="inlineStr">
        <is>
          <t>Track A</t>
        </is>
      </c>
      <c r="J5" s="48" t="n"/>
      <c r="K5" s="51" t="inlineStr">
        <is>
          <t>Done</t>
        </is>
      </c>
      <c r="L5" s="52" t="inlineStr">
        <is>
          <t>server.js:66-82 (@socket.io/redis-adapter); Kafka fanout server.js:119-128</t>
        </is>
      </c>
      <c r="M5" s="52" t="inlineStr"/>
      <c r="N5" s="27" t="inlineStr">
        <is>
          <t>2026-07-09 vs source</t>
        </is>
      </c>
    </row>
    <row r="6" ht="23.85" customHeight="1" s="28">
      <c r="A6" s="46" t="inlineStr">
        <is>
          <t>VC-005</t>
        </is>
      </c>
      <c r="B6" s="47" t="inlineStr">
        <is>
          <t>Speed</t>
        </is>
      </c>
      <c r="C6" s="48" t="inlineStr">
        <is>
          <t>Transport</t>
        </is>
      </c>
      <c r="D6" s="48" t="inlineStr">
        <is>
          <t>Fast reconnect with session resume token</t>
        </is>
      </c>
      <c r="E6" s="48" t="inlineStr">
        <is>
          <t>Store auth credential; skip full re-auth on reconnect; target &lt;1s reconnect on network switch.</t>
        </is>
      </c>
      <c r="F6" s="48" t="inlineStr">
        <is>
          <t>Noise-pipes cached credential, instant resume</t>
        </is>
      </c>
      <c r="G6" s="53" t="inlineStr">
        <is>
          <t>P1</t>
        </is>
      </c>
      <c r="H6" s="50" t="inlineStr">
        <is>
          <t>M</t>
        </is>
      </c>
      <c r="I6" s="48" t="inlineStr">
        <is>
          <t>Track A</t>
        </is>
      </c>
      <c r="J6" s="48" t="n"/>
      <c r="K6" s="54" t="inlineStr">
        <is>
          <t>Partial</t>
        </is>
      </c>
      <c r="L6" s="52" t="inlineStr">
        <is>
          <t>lib/socket.ts:73-77 (reconnect 500/5000)</t>
        </is>
      </c>
      <c r="M6" s="52" t="inlineStr">
        <is>
          <t>No resume token; full JWT re-auth each reconnect (server.js:672-690); no connectionStateRecovery</t>
        </is>
      </c>
      <c r="N6" s="27" t="inlineStr">
        <is>
          <t>2026-07-09 vs source</t>
        </is>
      </c>
    </row>
    <row r="7" ht="23.85" customHeight="1" s="28">
      <c r="A7" s="46" t="inlineStr">
        <is>
          <t>VC-006</t>
        </is>
      </c>
      <c r="B7" s="47" t="inlineStr">
        <is>
          <t>Speed</t>
        </is>
      </c>
      <c r="C7" s="48" t="inlineStr">
        <is>
          <t>Transport</t>
        </is>
      </c>
      <c r="D7" s="48" t="inlineStr">
        <is>
          <t>Heartbeat/ping interval tuning for mobile</t>
        </is>
      </c>
      <c r="E7" s="48" t="inlineStr">
        <is>
          <t>Tune pingInterval/pingTimeout for mobile radio wake cost vs dead-connection detection.</t>
        </is>
      </c>
      <c r="F7" s="48" t="inlineStr">
        <is>
          <t>Optimized keepalive for 2G/3G</t>
        </is>
      </c>
      <c r="G7" s="55" t="inlineStr">
        <is>
          <t>P2</t>
        </is>
      </c>
      <c r="H7" s="50" t="inlineStr">
        <is>
          <t>S</t>
        </is>
      </c>
      <c r="I7" s="48" t="inlineStr">
        <is>
          <t>Track A</t>
        </is>
      </c>
      <c r="J7" s="48" t="n"/>
      <c r="K7" s="51" t="inlineStr">
        <is>
          <t>Done</t>
        </is>
      </c>
      <c r="L7" s="52" t="inlineStr">
        <is>
          <t>server.js:57-58 (pingInterval/pingTimeout); lib/socket.ts:77</t>
        </is>
      </c>
      <c r="M7" s="52" t="inlineStr"/>
      <c r="N7" s="27" t="inlineStr">
        <is>
          <t>2026-07-09 vs source</t>
        </is>
      </c>
    </row>
    <row r="8" ht="23.85" customHeight="1" s="28">
      <c r="A8" s="46" t="inlineStr">
        <is>
          <t>VC-007</t>
        </is>
      </c>
      <c r="B8" s="47" t="inlineStr">
        <is>
          <t>Speed</t>
        </is>
      </c>
      <c r="C8" s="48" t="inlineStr">
        <is>
          <t>Transport</t>
        </is>
      </c>
      <c r="D8" s="48" t="inlineStr">
        <is>
          <t>Binary payload format (protobuf/msgpack) over WS</t>
        </is>
      </c>
      <c r="E8" s="48" t="inlineStr">
        <is>
          <t>Replace JSON stanzas with compact binary schema; measure frame size reduction.</t>
        </is>
      </c>
      <c r="F8" s="48" t="inlineStr">
        <is>
          <t>FunXMPP compact binary stanzas</t>
        </is>
      </c>
      <c r="G8" s="55" t="inlineStr">
        <is>
          <t>P2</t>
        </is>
      </c>
      <c r="H8" s="50" t="inlineStr">
        <is>
          <t>L</t>
        </is>
      </c>
      <c r="I8" s="48" t="inlineStr">
        <is>
          <t>Later</t>
        </is>
      </c>
      <c r="J8" s="48" t="inlineStr">
        <is>
          <t>WebSocket fix</t>
        </is>
      </c>
      <c r="K8" s="56" t="inlineStr">
        <is>
          <t>Not Started</t>
        </is>
      </c>
      <c r="L8" s="52" t="inlineStr">
        <is>
          <t>default JSON parser server.js:55-60</t>
        </is>
      </c>
      <c r="M8" s="52" t="inlineStr">
        <is>
          <t>No msgpack/protobuf parser on either side</t>
        </is>
      </c>
      <c r="N8" s="27" t="inlineStr">
        <is>
          <t>2026-07-09 vs source</t>
        </is>
      </c>
    </row>
    <row r="9" ht="35.05" customHeight="1" s="28">
      <c r="A9" s="46" t="inlineStr">
        <is>
          <t>VC-008</t>
        </is>
      </c>
      <c r="B9" s="47" t="inlineStr">
        <is>
          <t>Speed</t>
        </is>
      </c>
      <c r="C9" s="48" t="inlineStr">
        <is>
          <t>Send pipeline</t>
        </is>
      </c>
      <c r="D9" s="48" t="inlineStr">
        <is>
          <t>Optimistic local insert on send</t>
        </is>
      </c>
      <c r="E9" s="48" t="inlineStr">
        <is>
          <t>Insert message into op-sqlite with status=PENDING and render clock icon BEFORE any network I/O. UI must never await server.</t>
        </is>
      </c>
      <c r="F9" s="48" t="inlineStr">
        <is>
          <t>Core WhatsApp pattern: UI never waits on network</t>
        </is>
      </c>
      <c r="G9" s="49" t="inlineStr">
        <is>
          <t>P0</t>
        </is>
      </c>
      <c r="H9" s="50" t="inlineStr">
        <is>
          <t>M</t>
        </is>
      </c>
      <c r="I9" s="48" t="inlineStr">
        <is>
          <t>Track A</t>
        </is>
      </c>
      <c r="J9" s="48" t="n"/>
      <c r="K9" s="51" t="inlineStr">
        <is>
          <t>Done</t>
        </is>
      </c>
      <c r="L9" s="52" t="inlineStr">
        <is>
          <t>app/chat.tsx:806-824; lib/messageQueue.ts:100-106</t>
        </is>
      </c>
      <c r="M9" s="52" t="inlineStr">
        <is>
          <t>Queue persisted in AsyncStorage, not sqlite (functionally equivalent)</t>
        </is>
      </c>
      <c r="N9" s="27" t="inlineStr">
        <is>
          <t>2026-07-09 vs source</t>
        </is>
      </c>
    </row>
    <row r="10" ht="23.85" customHeight="1" s="28">
      <c r="A10" s="46" t="inlineStr">
        <is>
          <t>VC-009</t>
        </is>
      </c>
      <c r="B10" s="47" t="inlineStr">
        <is>
          <t>Speed</t>
        </is>
      </c>
      <c r="C10" s="48" t="inlineStr">
        <is>
          <t>Send pipeline</t>
        </is>
      </c>
      <c r="D10" s="48" t="inlineStr">
        <is>
          <t>Client-generated message IDs</t>
        </is>
      </c>
      <c r="E10" s="48" t="inlineStr">
        <is>
          <t>UUID/ULID generated on device; server treats as idempotency key for dedup on retry.</t>
        </is>
      </c>
      <c r="F10" s="48" t="inlineStr">
        <is>
          <t>Client-generated key_id</t>
        </is>
      </c>
      <c r="G10" s="49" t="inlineStr">
        <is>
          <t>P0</t>
        </is>
      </c>
      <c r="H10" s="50" t="inlineStr">
        <is>
          <t>S</t>
        </is>
      </c>
      <c r="I10" s="48" t="inlineStr">
        <is>
          <t>Track A</t>
        </is>
      </c>
      <c r="J10" s="48" t="n"/>
      <c r="K10" s="51" t="inlineStr">
        <is>
          <t>Done</t>
        </is>
      </c>
      <c r="L10" s="52" t="inlineStr">
        <is>
          <t>messageQueue.ts:74-76,144-147; routes/chats.js:734-853</t>
        </is>
      </c>
      <c r="M10" s="52" t="inlineStr">
        <is>
          <t>Done (fixed 2026-07-10, pending deploy: migration 055 + client_id idempotency)</t>
        </is>
      </c>
      <c r="N10" s="27" t="inlineStr">
        <is>
          <t>FIXED 2026-07-10</t>
        </is>
      </c>
    </row>
    <row r="11" ht="23.85" customHeight="1" s="28">
      <c r="A11" s="46" t="inlineStr">
        <is>
          <t>VC-010</t>
        </is>
      </c>
      <c r="B11" s="47" t="inlineStr">
        <is>
          <t>Speed</t>
        </is>
      </c>
      <c r="C11" s="48" t="inlineStr">
        <is>
          <t>Send pipeline</t>
        </is>
      </c>
      <c r="D11" s="48" t="inlineStr">
        <is>
          <t>Persisted client outbound queue + backoff</t>
        </is>
      </c>
      <c r="E11" s="48" t="inlineStr">
        <is>
          <t>Unsent messages survive app kill; exponential backoff retry when socket restored.</t>
        </is>
      </c>
      <c r="F11" s="48" t="inlineStr">
        <is>
          <t>Local DB outbound queue, socket-independent</t>
        </is>
      </c>
      <c r="G11" s="49" t="inlineStr">
        <is>
          <t>P0</t>
        </is>
      </c>
      <c r="H11" s="50" t="inlineStr">
        <is>
          <t>M</t>
        </is>
      </c>
      <c r="I11" s="48" t="inlineStr">
        <is>
          <t>Track A</t>
        </is>
      </c>
      <c r="J11" s="48" t="inlineStr">
        <is>
          <t>Client message IDs</t>
        </is>
      </c>
      <c r="K11" s="51" t="inlineStr">
        <is>
          <t>Done</t>
        </is>
      </c>
      <c r="L11" s="52" t="inlineStr">
        <is>
          <t>messageQueue.ts:24-27 (backoff), 211-228 (drain on boot/NetInfo/periodic)</t>
        </is>
      </c>
      <c r="M11" s="52" t="inlineStr"/>
      <c r="N11" s="27" t="inlineStr">
        <is>
          <t>2026-07-09 vs source</t>
        </is>
      </c>
    </row>
    <row r="12" ht="23.85" customHeight="1" s="28">
      <c r="A12" s="46" t="inlineStr">
        <is>
          <t>VC-011</t>
        </is>
      </c>
      <c r="B12" s="47" t="inlineStr">
        <is>
          <t>Speed</t>
        </is>
      </c>
      <c r="C12" s="48" t="inlineStr">
        <is>
          <t>Send pipeline</t>
        </is>
      </c>
      <c r="D12" s="48" t="inlineStr">
        <is>
          <t>Server ack -&gt; SENT tick state machine</t>
        </is>
      </c>
      <c r="E12" s="48" t="inlineStr">
        <is>
          <t>Distinct states PENDING/SENT/DELIVERED/READ driven by ack + receipt stanzas; per-state UI ticks.</t>
        </is>
      </c>
      <c r="F12" s="48" t="inlineStr">
        <is>
          <t>Single tick on server ack, queue delete on delivery</t>
        </is>
      </c>
      <c r="G12" s="49" t="inlineStr">
        <is>
          <t>P0</t>
        </is>
      </c>
      <c r="H12" s="50" t="inlineStr">
        <is>
          <t>M</t>
        </is>
      </c>
      <c r="I12" s="48" t="inlineStr">
        <is>
          <t>Track A</t>
        </is>
      </c>
      <c r="J12" s="48" t="n"/>
      <c r="K12" s="51" t="inlineStr">
        <is>
          <t>Done</t>
        </is>
      </c>
      <c r="L12" s="52" t="inlineStr">
        <is>
          <t>app/chat.tsx:3506-3517,3868-3875; migrations/006_delivery.sql:12-13</t>
        </is>
      </c>
      <c r="M12" s="52" t="inlineStr"/>
      <c r="N12" s="27" t="inlineStr">
        <is>
          <t>2026-07-09 vs source</t>
        </is>
      </c>
    </row>
    <row r="13" ht="23.85" customHeight="1" s="28">
      <c r="A13" s="46" t="inlineStr">
        <is>
          <t>VC-012</t>
        </is>
      </c>
      <c r="B13" s="47" t="inlineStr">
        <is>
          <t>Speed</t>
        </is>
      </c>
      <c r="C13" s="48" t="inlineStr">
        <is>
          <t>Infra</t>
        </is>
      </c>
      <c r="D13" s="48" t="inlineStr">
        <is>
          <t>Mumbai VPS migration</t>
        </is>
      </c>
      <c r="E13" s="48" t="inlineStr">
        <is>
          <t>Move app+DB+coturn to Mumbai region; measure RTT from Indian ISPs before/after.</t>
        </is>
      </c>
      <c r="F13" s="48" t="inlineStr">
        <is>
          <t>Global edge presence</t>
        </is>
      </c>
      <c r="G13" s="49" t="inlineStr">
        <is>
          <t>P0</t>
        </is>
      </c>
      <c r="H13" s="50" t="inlineStr">
        <is>
          <t>L</t>
        </is>
      </c>
      <c r="I13" s="48" t="inlineStr">
        <is>
          <t>Infra</t>
        </is>
      </c>
      <c r="J13" s="48" t="n"/>
      <c r="K13" s="56" t="inlineStr">
        <is>
          <t>Not Started</t>
        </is>
      </c>
      <c r="L13" s="52" t="inlineStr">
        <is>
          <t>Hetzner/Finland: docker-compose.yml:107; constants/server.ts:9</t>
        </is>
      </c>
      <c r="M13" s="52" t="inlineStr">
        <is>
          <t>No ap-south (Mumbai) region for app+DB+coturn</t>
        </is>
      </c>
      <c r="N13" s="27" t="inlineStr">
        <is>
          <t>2026-07-09 vs source</t>
        </is>
      </c>
    </row>
    <row r="14" ht="23.85" customHeight="1" s="28">
      <c r="A14" s="46" t="inlineStr">
        <is>
          <t>VC-013</t>
        </is>
      </c>
      <c r="B14" s="47" t="inlineStr">
        <is>
          <t>Speed</t>
        </is>
      </c>
      <c r="C14" s="48" t="inlineStr">
        <is>
          <t>Infra</t>
        </is>
      </c>
      <c r="D14" s="48" t="inlineStr">
        <is>
          <t>Media edge locality (R2/CDN) for India</t>
        </is>
      </c>
      <c r="E14" s="48" t="inlineStr">
        <is>
          <t>Verify R2 access latency from India; add Cloudflare cache rules for ciphertext blobs.</t>
        </is>
      </c>
      <c r="F14" s="48" t="inlineStr">
        <is>
          <t>CDN-stored media blobs</t>
        </is>
      </c>
      <c r="G14" s="53" t="inlineStr">
        <is>
          <t>P1</t>
        </is>
      </c>
      <c r="H14" s="50" t="inlineStr">
        <is>
          <t>S</t>
        </is>
      </c>
      <c r="I14" s="48" t="inlineStr">
        <is>
          <t>Infra</t>
        </is>
      </c>
      <c r="J14" s="48" t="n"/>
      <c r="K14" s="54" t="inlineStr">
        <is>
          <t>Partial</t>
        </is>
      </c>
      <c r="L14" s="52" t="inlineStr">
        <is>
          <t>S3-compatible storage lib/storage.js:1-2,91-95</t>
        </is>
      </c>
      <c r="M14" s="52" t="inlineStr">
        <is>
          <t>No Cloudflare CDN/cache rules; no India edge; staging on MinIO</t>
        </is>
      </c>
      <c r="N14" s="27" t="inlineStr">
        <is>
          <t>2026-07-09 vs source</t>
        </is>
      </c>
    </row>
    <row r="15" ht="23.85" customHeight="1" s="28">
      <c r="A15" s="46" t="inlineStr">
        <is>
          <t>VC-014</t>
        </is>
      </c>
      <c r="B15" s="47" t="inlineStr">
        <is>
          <t>Speed</t>
        </is>
      </c>
      <c r="C15" s="48" t="inlineStr">
        <is>
          <t>Infra</t>
        </is>
      </c>
      <c r="D15" s="48" t="inlineStr">
        <is>
          <t>DB indexes for hot paths</t>
        </is>
      </c>
      <c r="E15" s="48" t="inlineStr">
        <is>
          <t>Indexes on messages(chat_id,sort_ts), receipts(msg_id), chats(sort_timestamp). EXPLAIN ANALYZE top queries.</t>
        </is>
      </c>
      <c r="F15" s="48" t="inlineStr">
        <is>
          <t>N/A (queue model)</t>
        </is>
      </c>
      <c r="G15" s="53" t="inlineStr">
        <is>
          <t>P1</t>
        </is>
      </c>
      <c r="H15" s="50" t="inlineStr">
        <is>
          <t>S</t>
        </is>
      </c>
      <c r="I15" s="48" t="inlineStr">
        <is>
          <t>Track A</t>
        </is>
      </c>
      <c r="J15" s="48" t="n"/>
      <c r="K15" s="54" t="inlineStr">
        <is>
          <t>Partial</t>
        </is>
      </c>
      <c r="L15" s="52" t="inlineStr">
        <is>
          <t>migrations/002_chats.sql:72 messages(chat_id,id DESC); :29 chats(last_message_at)</t>
        </is>
      </c>
      <c r="M15" s="52" t="inlineStr">
        <is>
          <t>No receipts(msg_id) index (no receipts table); no dedicated sort_ts column</t>
        </is>
      </c>
      <c r="N15" s="27" t="inlineStr">
        <is>
          <t>2026-07-09 vs source</t>
        </is>
      </c>
    </row>
    <row r="16" ht="23.85" customHeight="1" s="28">
      <c r="A16" s="46" t="inlineStr">
        <is>
          <t>VC-015</t>
        </is>
      </c>
      <c r="B16" s="47" t="inlineStr">
        <is>
          <t>Speed</t>
        </is>
      </c>
      <c r="C16" s="48" t="inlineStr">
        <is>
          <t>Infra</t>
        </is>
      </c>
      <c r="D16" s="48" t="inlineStr">
        <is>
          <t>PgBouncer pool + Fastify tuning</t>
        </is>
      </c>
      <c r="E16" s="48" t="inlineStr">
        <is>
          <t>Transaction pooling mode, pool sizing, keepalive; load test message insert path.</t>
        </is>
      </c>
      <c r="F16" s="48" t="inlineStr">
        <is>
          <t>Erlang massive concurrency</t>
        </is>
      </c>
      <c r="G16" s="53" t="inlineStr">
        <is>
          <t>P1</t>
        </is>
      </c>
      <c r="H16" s="50" t="inlineStr">
        <is>
          <t>S</t>
        </is>
      </c>
      <c r="I16" s="48" t="inlineStr">
        <is>
          <t>Infra</t>
        </is>
      </c>
      <c r="J16" s="48" t="n"/>
      <c r="K16" s="54" t="inlineStr">
        <is>
          <t>Partial</t>
        </is>
      </c>
      <c r="L16" s="52" t="inlineStr">
        <is>
          <t>PgBouncer 6432 DEPLOY_HETZNER.md:59-62; db.js:1-8</t>
        </is>
      </c>
      <c r="M16" s="52" t="inlineStr">
        <is>
          <t>Backend is Express not Fastify; PgBouncer is ops-only (no compose service)</t>
        </is>
      </c>
      <c r="N16" s="27" t="inlineStr">
        <is>
          <t>2026-07-09 vs source</t>
        </is>
      </c>
    </row>
    <row r="17" ht="23.85" customHeight="1" s="28">
      <c r="A17" s="46" t="inlineStr">
        <is>
          <t>VC-016</t>
        </is>
      </c>
      <c r="B17" s="47" t="inlineStr">
        <is>
          <t>Speed</t>
        </is>
      </c>
      <c r="C17" s="48" t="inlineStr">
        <is>
          <t>Client render</t>
        </is>
      </c>
      <c r="D17" s="48" t="inlineStr">
        <is>
          <t>Cold start renders from local DB first</t>
        </is>
      </c>
      <c r="E17" s="48" t="inlineStr">
        <is>
          <t>App open shows chat list + last messages from op-sqlite instantly; socket connect happens after first paint.</t>
        </is>
      </c>
      <c r="F17" s="48" t="inlineStr">
        <is>
          <t>Chat list renders with zero network</t>
        </is>
      </c>
      <c r="G17" s="49" t="inlineStr">
        <is>
          <t>P0</t>
        </is>
      </c>
      <c r="H17" s="50" t="inlineStr">
        <is>
          <t>M</t>
        </is>
      </c>
      <c r="I17" s="48" t="inlineStr">
        <is>
          <t>Track A</t>
        </is>
      </c>
      <c r="J17" s="48" t="n"/>
      <c r="K17" s="51" t="inlineStr">
        <is>
          <t>Done</t>
        </is>
      </c>
      <c r="L17" s="52" t="inlineStr">
        <is>
          <t>app/(tabs)/chats.tsx:102-107; app/chat.tsx:400-401 (paint cache before network)</t>
        </is>
      </c>
      <c r="M17" s="52" t="inlineStr"/>
      <c r="N17" s="27" t="inlineStr">
        <is>
          <t>2026-07-09 vs source</t>
        </is>
      </c>
    </row>
    <row r="18" ht="23.85" customHeight="1" s="28">
      <c r="A18" s="46" t="inlineStr">
        <is>
          <t>VC-017</t>
        </is>
      </c>
      <c r="B18" s="47" t="inlineStr">
        <is>
          <t>Speed</t>
        </is>
      </c>
      <c r="C18" s="48" t="inlineStr">
        <is>
          <t>Client render</t>
        </is>
      </c>
      <c r="D18" s="48" t="inlineStr">
        <is>
          <t>Cursor-based local message pagination</t>
        </is>
      </c>
      <c r="E18" s="48" t="inlineStr">
        <is>
          <t>Load newest N messages; page older on scroll from local DB only.</t>
        </is>
      </c>
      <c r="F18" s="48" t="inlineStr">
        <is>
          <t>Paged cursor over msgstore</t>
        </is>
      </c>
      <c r="G18" s="53" t="inlineStr">
        <is>
          <t>P1</t>
        </is>
      </c>
      <c r="H18" s="50" t="inlineStr">
        <is>
          <t>M</t>
        </is>
      </c>
      <c r="I18" s="48" t="inlineStr">
        <is>
          <t>Track A</t>
        </is>
      </c>
      <c r="J18" s="48" t="n"/>
      <c r="K18" s="54" t="inlineStr">
        <is>
          <t>Partial</t>
        </is>
      </c>
      <c r="L18" s="52" t="inlineStr">
        <is>
          <t>app/chat.tsx:1629 getMessages({before:oldest})</t>
        </is>
      </c>
      <c r="M18" s="52" t="inlineStr">
        <is>
          <t>Older pages fetched from SERVER, not local DB; localDb has no before-cursor query</t>
        </is>
      </c>
      <c r="N18" s="27" t="inlineStr">
        <is>
          <t>2026-07-09 vs source</t>
        </is>
      </c>
    </row>
    <row r="19" ht="23.85" customHeight="1" s="28">
      <c r="A19" s="46" t="inlineStr">
        <is>
          <t>VC-018</t>
        </is>
      </c>
      <c r="B19" s="47" t="inlineStr">
        <is>
          <t>Speed</t>
        </is>
      </c>
      <c r="C19" s="48" t="inlineStr">
        <is>
          <t>Client render</t>
        </is>
      </c>
      <c r="D19" s="48" t="inlineStr">
        <is>
          <t>Inverted list perf (FlashList) + memoized bubbles</t>
        </is>
      </c>
      <c r="E19" s="48" t="inlineStr">
        <is>
          <t>Stable keys, memoized bubble components, no re-render storms on receipt updates.</t>
        </is>
      </c>
      <c r="F19" s="48" t="inlineStr">
        <is>
          <t>Native RecyclerView efficiency</t>
        </is>
      </c>
      <c r="G19" s="53" t="inlineStr">
        <is>
          <t>P1</t>
        </is>
      </c>
      <c r="H19" s="50" t="inlineStr">
        <is>
          <t>M</t>
        </is>
      </c>
      <c r="I19" s="48" t="inlineStr">
        <is>
          <t>Track A</t>
        </is>
      </c>
      <c r="J19" s="48" t="n"/>
      <c r="K19" s="54" t="inlineStr">
        <is>
          <t>Partial</t>
        </is>
      </c>
      <c r="L19" s="52" t="inlineStr">
        <is>
          <t>app/chat.tsx:2033 FlatList; MemoBubble 2058; keyExtractor 2036</t>
        </is>
      </c>
      <c r="M19" s="52" t="inlineStr">
        <is>
          <t>Uses tuned FlatList; @shopify/flash-list not in repo</t>
        </is>
      </c>
      <c r="N19" s="27" t="inlineStr">
        <is>
          <t>2026-07-09 vs source</t>
        </is>
      </c>
    </row>
    <row r="20" ht="23.85" customHeight="1" s="28">
      <c r="A20" s="46" t="inlineStr">
        <is>
          <t>VC-019</t>
        </is>
      </c>
      <c r="B20" s="47" t="inlineStr">
        <is>
          <t>Speed</t>
        </is>
      </c>
      <c r="C20" s="48" t="inlineStr">
        <is>
          <t>Client render</t>
        </is>
      </c>
      <c r="D20" s="48" t="inlineStr">
        <is>
          <t>Hermes + startup profiling</t>
        </is>
      </c>
      <c r="E20" s="48" t="inlineStr">
        <is>
          <t>Enable/verify Hermes, inline requires, measure TTI on low-end Android.</t>
        </is>
      </c>
      <c r="F20" s="48" t="inlineStr">
        <is>
          <t>Native app startup</t>
        </is>
      </c>
      <c r="G20" s="55" t="inlineStr">
        <is>
          <t>P2</t>
        </is>
      </c>
      <c r="H20" s="50" t="inlineStr">
        <is>
          <t>M</t>
        </is>
      </c>
      <c r="I20" s="48" t="inlineStr">
        <is>
          <t>Later</t>
        </is>
      </c>
      <c r="J20" s="48" t="n"/>
      <c r="K20" s="51" t="inlineStr">
        <is>
          <t>Done</t>
        </is>
      </c>
      <c r="L20" s="52" t="inlineStr">
        <is>
          <t>app.json:11 jsEngine=hermes; lib/perf.ts; app/perf-debug.tsx</t>
        </is>
      </c>
      <c r="M20" s="52" t="inlineStr">
        <is>
          <t>Inline requires rely on Metro defaults</t>
        </is>
      </c>
      <c r="N20" s="27" t="inlineStr">
        <is>
          <t>2026-07-09 vs source</t>
        </is>
      </c>
    </row>
    <row r="21" ht="23.85" customHeight="1" s="28">
      <c r="A21" s="46" t="inlineStr">
        <is>
          <t>VC-020</t>
        </is>
      </c>
      <c r="B21" s="47" t="inlineStr">
        <is>
          <t>Speed</t>
        </is>
      </c>
      <c r="C21" s="48" t="inlineStr">
        <is>
          <t>Media speed</t>
        </is>
      </c>
      <c r="D21" s="48" t="inlineStr">
        <is>
          <t>Embedded micro-thumbnail in message payload</t>
        </is>
      </c>
      <c r="E21" s="48" t="inlineStr">
        <is>
          <t>Tiny blurred preview bytes inside E2EE message so bubbles render instantly before download.</t>
        </is>
      </c>
      <c r="F21" s="48" t="inlineStr">
        <is>
          <t>Micro-thumbnail travels in message</t>
        </is>
      </c>
      <c r="G21" s="53" t="inlineStr">
        <is>
          <t>P1</t>
        </is>
      </c>
      <c r="H21" s="50" t="inlineStr">
        <is>
          <t>M</t>
        </is>
      </c>
      <c r="I21" s="48" t="inlineStr">
        <is>
          <t>Track A</t>
        </is>
      </c>
      <c r="J21" s="48" t="n"/>
      <c r="K21" s="51" t="inlineStr">
        <is>
          <t>Done</t>
        </is>
      </c>
      <c r="L21" s="52" t="inlineStr">
        <is>
          <t>lib/sendMedia.ts:64-66,94-96; lib/thumbnails.ts:23-42; render chat.tsx:3287-3289</t>
        </is>
      </c>
      <c r="M21" s="52" t="inlineStr"/>
      <c r="N21" s="27" t="inlineStr">
        <is>
          <t>2026-07-09 vs source</t>
        </is>
      </c>
    </row>
    <row r="22" ht="23.85" customHeight="1" s="28">
      <c r="A22" s="46" t="inlineStr">
        <is>
          <t>VC-021</t>
        </is>
      </c>
      <c r="B22" s="47" t="inlineStr">
        <is>
          <t>Speed</t>
        </is>
      </c>
      <c r="C22" s="48" t="inlineStr">
        <is>
          <t>Media speed</t>
        </is>
      </c>
      <c r="D22" s="48" t="inlineStr">
        <is>
          <t>Compression profiles (Standard/HD)</t>
        </is>
      </c>
      <c r="E22" s="48" t="inlineStr">
        <is>
          <t>Standard ~1600px / HD ~4096px image tiers; video bitrate tiers; user toggle at compose.</t>
        </is>
      </c>
      <c r="F22" s="48" t="inlineStr">
        <is>
          <t>Upload quality setting</t>
        </is>
      </c>
      <c r="G22" s="53" t="inlineStr">
        <is>
          <t>P1</t>
        </is>
      </c>
      <c r="H22" s="50" t="inlineStr">
        <is>
          <t>M</t>
        </is>
      </c>
      <c r="I22" s="48" t="inlineStr">
        <is>
          <t>Track E</t>
        </is>
      </c>
      <c r="J22" s="48" t="n"/>
      <c r="K22" s="56" t="inlineStr">
        <is>
          <t>Not Started</t>
        </is>
      </c>
      <c r="L22" s="52" t="inlineStr">
        <is>
          <t>no resize/bitrate tiers in sendMedia.ts / mediaAttachments.ts</t>
        </is>
      </c>
      <c r="M22" s="52" t="inlineStr">
        <is>
          <t>No 1600/4096 image tiers, no video bitrate tiers, no compose-time quality toggle</t>
        </is>
      </c>
      <c r="N22" s="27" t="inlineStr">
        <is>
          <t>2026-07-09 vs source</t>
        </is>
      </c>
    </row>
    <row r="23" ht="23.85" customHeight="1" s="28">
      <c r="A23" s="46" t="inlineStr">
        <is>
          <t>VC-022</t>
        </is>
      </c>
      <c r="B23" s="47" t="inlineStr">
        <is>
          <t>Speed</t>
        </is>
      </c>
      <c r="C23" s="48" t="inlineStr">
        <is>
          <t>Media speed</t>
        </is>
      </c>
      <c r="D23" s="48" t="inlineStr">
        <is>
          <t>Progressive video playback from partial file</t>
        </is>
      </c>
      <c r="E23" s="48" t="inlineStr">
        <is>
          <t>Play while downloading; chunked write to local file.</t>
        </is>
      </c>
      <c r="F23" s="48" t="inlineStr">
        <is>
          <t>Streamed chunk decrypt/playback</t>
        </is>
      </c>
      <c r="G23" s="55" t="inlineStr">
        <is>
          <t>P2</t>
        </is>
      </c>
      <c r="H23" s="50" t="inlineStr">
        <is>
          <t>M</t>
        </is>
      </c>
      <c r="I23" s="48" t="inlineStr">
        <is>
          <t>Later</t>
        </is>
      </c>
      <c r="J23" s="48" t="n"/>
      <c r="K23" s="56" t="inlineStr">
        <is>
          <t>Not Started</t>
        </is>
      </c>
      <c r="L23" s="52" t="inlineStr">
        <is>
          <t>app/chat.tsx:3316-3336 full download then play</t>
        </is>
      </c>
      <c r="M23" s="52" t="inlineStr">
        <is>
          <t>No play-from-partial-file / progressive streaming</t>
        </is>
      </c>
      <c r="N23" s="27" t="inlineStr">
        <is>
          <t>2026-07-09 vs source</t>
        </is>
      </c>
    </row>
    <row r="24" ht="23.85" customHeight="1" s="28">
      <c r="A24" s="46" t="inlineStr">
        <is>
          <t>VC-023</t>
        </is>
      </c>
      <c r="B24" s="47" t="inlineStr">
        <is>
          <t>Speed</t>
        </is>
      </c>
      <c r="C24" s="48" t="inlineStr">
        <is>
          <t>Presence</t>
        </is>
      </c>
      <c r="D24" s="48" t="inlineStr">
        <is>
          <t>Subscribe-on-open presence model</t>
        </is>
      </c>
      <c r="E24" s="48" t="inlineStr">
        <is>
          <t>Only subscribe to a peer's presence while their chat is open; unsubscribe on exit. Avoid global presence fanout.</t>
        </is>
      </c>
      <c r="F24" s="48" t="inlineStr">
        <is>
          <t>Presence subscription per open chat</t>
        </is>
      </c>
      <c r="G24" s="53" t="inlineStr">
        <is>
          <t>P1</t>
        </is>
      </c>
      <c r="H24" s="50" t="inlineStr">
        <is>
          <t>S</t>
        </is>
      </c>
      <c r="I24" s="48" t="inlineStr">
        <is>
          <t>Track A</t>
        </is>
      </c>
      <c r="J24" s="48" t="n"/>
      <c r="K24" s="56" t="inlineStr">
        <is>
          <t>Not Started</t>
        </is>
      </c>
      <c r="L24" s="52" t="inlineStr">
        <is>
          <t>global presence_changed app/chat.tsx:553-558,622</t>
        </is>
      </c>
      <c r="M24" s="52" t="inlineStr">
        <is>
          <t>No per-peer subscribe-on-open / unsubscribe-on-exit</t>
        </is>
      </c>
      <c r="N24" s="27" t="inlineStr">
        <is>
          <t>2026-07-09 vs source</t>
        </is>
      </c>
    </row>
    <row r="25" ht="23.85" customHeight="1" s="28">
      <c r="A25" s="46" t="inlineStr">
        <is>
          <t>VC-024</t>
        </is>
      </c>
      <c r="B25" s="47" t="inlineStr">
        <is>
          <t>Speed</t>
        </is>
      </c>
      <c r="C25" s="48" t="inlineStr">
        <is>
          <t>Presence</t>
        </is>
      </c>
      <c r="D25" s="48" t="inlineStr">
        <is>
          <t>Typing indicator throttling</t>
        </is>
      </c>
      <c r="E25" s="48" t="inlineStr">
        <is>
          <t>composing stanza max 1 per N sec + paused after idle; never persisted.</t>
        </is>
      </c>
      <c r="F25" s="48" t="inlineStr">
        <is>
          <t>Throttled chatstate stanzas</t>
        </is>
      </c>
      <c r="G25" s="55" t="inlineStr">
        <is>
          <t>P2</t>
        </is>
      </c>
      <c r="H25" s="50" t="inlineStr">
        <is>
          <t>S</t>
        </is>
      </c>
      <c r="I25" s="48" t="inlineStr">
        <is>
          <t>Track A</t>
        </is>
      </c>
      <c r="J25" s="48" t="n"/>
      <c r="K25" s="51" t="inlineStr">
        <is>
          <t>Done</t>
        </is>
      </c>
      <c r="L25" s="52" t="inlineStr">
        <is>
          <t>app/chat.tsx:750-764 (edge-triggered typing_start + idle stop, never persisted)</t>
        </is>
      </c>
      <c r="M25" s="52" t="inlineStr"/>
      <c r="N25" s="27" t="inlineStr">
        <is>
          <t>2026-07-09 vs source</t>
        </is>
      </c>
    </row>
    <row r="26" ht="23.85" customHeight="1" s="28">
      <c r="A26" s="46" t="inlineStr">
        <is>
          <t>VC-025</t>
        </is>
      </c>
      <c r="B26" s="57" t="inlineStr">
        <is>
          <t>Data Flow</t>
        </is>
      </c>
      <c r="C26" s="48" t="inlineStr">
        <is>
          <t>Receipts</t>
        </is>
      </c>
      <c r="D26" s="48" t="inlineStr">
        <is>
          <t>Delivered receipt stanza + routing</t>
        </is>
      </c>
      <c r="E26" s="48" t="inlineStr">
        <is>
          <t>Recipient device sends delivered receipt immediately after persist; routed to sender; updates tick.</t>
        </is>
      </c>
      <c r="F26" s="48" t="inlineStr">
        <is>
          <t>receipt(delivered) per device</t>
        </is>
      </c>
      <c r="G26" s="49" t="inlineStr">
        <is>
          <t>P0</t>
        </is>
      </c>
      <c r="H26" s="50" t="inlineStr">
        <is>
          <t>M</t>
        </is>
      </c>
      <c r="I26" s="48" t="inlineStr">
        <is>
          <t>Track A</t>
        </is>
      </c>
      <c r="J26" s="48" t="n"/>
      <c r="K26" s="51" t="inlineStr">
        <is>
          <t>Done</t>
        </is>
      </c>
      <c r="L26" s="52" t="inlineStr">
        <is>
          <t>app/chat.tsx:494-495 markDelivered; routes/chats.js:1014-1035 broadcast</t>
        </is>
      </c>
      <c r="M26" s="52" t="inlineStr">
        <is>
          <t>Only fires while that chat screen is open</t>
        </is>
      </c>
      <c r="N26" s="27" t="inlineStr">
        <is>
          <t>2026-07-09 vs source</t>
        </is>
      </c>
    </row>
    <row r="27" ht="23.85" customHeight="1" s="28">
      <c r="A27" s="46" t="inlineStr">
        <is>
          <t>VC-026</t>
        </is>
      </c>
      <c r="B27" s="57" t="inlineStr">
        <is>
          <t>Data Flow</t>
        </is>
      </c>
      <c r="C27" s="48" t="inlineStr">
        <is>
          <t>Receipts</t>
        </is>
      </c>
      <c r="D27" s="48" t="inlineStr">
        <is>
          <t>Read receipt batching + privacy toggle</t>
        </is>
      </c>
      <c r="E27" s="48" t="inlineStr">
        <is>
          <t>Batch read receipts on chat open; suppress both directions if either side disabled receipts.</t>
        </is>
      </c>
      <c r="F27" s="48" t="inlineStr">
        <is>
          <t>Blue ticks, reciprocity rule</t>
        </is>
      </c>
      <c r="G27" s="49" t="inlineStr">
        <is>
          <t>P0</t>
        </is>
      </c>
      <c r="H27" s="50" t="inlineStr">
        <is>
          <t>M</t>
        </is>
      </c>
      <c r="I27" s="48" t="inlineStr">
        <is>
          <t>Track A</t>
        </is>
      </c>
      <c r="J27" s="48" t="n"/>
      <c r="K27" s="51" t="inlineStr">
        <is>
          <t>Done</t>
        </is>
      </c>
      <c r="L27" s="52" t="inlineStr">
        <is>
          <t>app/chat.tsx:698-709 debounced markRead; toggle col migrations/009_blocks.sql:26</t>
        </is>
      </c>
      <c r="M27" s="52" t="inlineStr">
        <is>
          <t>Done (fixed 2026-07-10, pending deploy: read-receipt reciprocity, server-enforced)</t>
        </is>
      </c>
      <c r="N27" s="27" t="inlineStr">
        <is>
          <t>FIXED 2026-07-10</t>
        </is>
      </c>
    </row>
    <row r="28" ht="23.85" customHeight="1" s="28">
      <c r="A28" s="46" t="inlineStr">
        <is>
          <t>VC-027</t>
        </is>
      </c>
      <c r="B28" s="57" t="inlineStr">
        <is>
          <t>Data Flow</t>
        </is>
      </c>
      <c r="C28" s="48" t="inlineStr">
        <is>
          <t>Receipts</t>
        </is>
      </c>
      <c r="D28" s="48" t="inlineStr">
        <is>
          <t>Per-(user,device) receipts schema</t>
        </is>
      </c>
      <c r="E28" s="48" t="inlineStr">
        <is>
          <t>Receipts table keyed by (message, user, device) so multi-device later is a migration not rewrite.</t>
        </is>
      </c>
      <c r="F28" s="48" t="inlineStr">
        <is>
          <t>receipt_user/receipt_device tables</t>
        </is>
      </c>
      <c r="G28" s="49" t="inlineStr">
        <is>
          <t>P0</t>
        </is>
      </c>
      <c r="H28" s="50" t="inlineStr">
        <is>
          <t>S</t>
        </is>
      </c>
      <c r="I28" s="48" t="inlineStr">
        <is>
          <t>Track A</t>
        </is>
      </c>
      <c r="J28" s="48" t="n"/>
      <c r="K28" s="56" t="inlineStr">
        <is>
          <t>Not Started</t>
        </is>
      </c>
      <c r="L28" s="52" t="inlineStr">
        <is>
          <t>migrations/006_delivery.sql:8-10 'Per-USER, not per-device'; 002_chats.sql:42</t>
        </is>
      </c>
      <c r="M28" s="52" t="inlineStr">
        <is>
          <t>Receipts are per-user pointers on chat_members; devices table ignored -&gt; multi-device = rewrite</t>
        </is>
      </c>
      <c r="N28" s="27" t="inlineStr">
        <is>
          <t>2026-07-09 vs source</t>
        </is>
      </c>
    </row>
    <row r="29" ht="15" customHeight="1" s="28">
      <c r="A29" s="46" t="inlineStr">
        <is>
          <t>VC-028</t>
        </is>
      </c>
      <c r="B29" s="57" t="inlineStr">
        <is>
          <t>Data Flow</t>
        </is>
      </c>
      <c r="C29" s="48" t="inlineStr">
        <is>
          <t>Receipts</t>
        </is>
      </c>
      <c r="D29" s="48" t="inlineStr">
        <is>
          <t>Played receipt for voice notes</t>
        </is>
      </c>
      <c r="E29" s="48" t="inlineStr">
        <is>
          <t>Separate receipt type; blue mic UI on sender side.</t>
        </is>
      </c>
      <c r="F29" s="48" t="inlineStr">
        <is>
          <t>Played receipt stanza</t>
        </is>
      </c>
      <c r="G29" s="55" t="inlineStr">
        <is>
          <t>P2</t>
        </is>
      </c>
      <c r="H29" s="50" t="inlineStr">
        <is>
          <t>S</t>
        </is>
      </c>
      <c r="I29" s="48" t="inlineStr">
        <is>
          <t>Later</t>
        </is>
      </c>
      <c r="J29" s="48" t="n"/>
      <c r="K29" s="56" t="inlineStr">
        <is>
          <t>Not Started</t>
        </is>
      </c>
      <c r="L29" s="52" t="inlineStr">
        <is>
          <t>no played receipt type/column anywhere</t>
        </is>
      </c>
      <c r="M29" s="52" t="inlineStr">
        <is>
          <t>No played receipt, no blue-mic UI</t>
        </is>
      </c>
      <c r="N29" s="27" t="inlineStr">
        <is>
          <t>2026-07-09 vs source</t>
        </is>
      </c>
    </row>
    <row r="30" ht="23.85" customHeight="1" s="28">
      <c r="A30" s="46" t="inlineStr">
        <is>
          <t>VC-029</t>
        </is>
      </c>
      <c r="B30" s="57" t="inlineStr">
        <is>
          <t>Data Flow</t>
        </is>
      </c>
      <c r="C30" s="48" t="inlineStr">
        <is>
          <t>Message ops</t>
        </is>
      </c>
      <c r="D30" s="48" t="inlineStr">
        <is>
          <t>Delete-for-everyone (revoke)</t>
        </is>
      </c>
      <c r="E30" s="48" t="inlineStr">
        <is>
          <t>Revoke message referencing target ID; receivers blank to tombstone; enforce time window.</t>
        </is>
      </c>
      <c r="F30" s="48" t="inlineStr">
        <is>
          <t>Revoke within window; tombstone bubble</t>
        </is>
      </c>
      <c r="G30" s="53" t="inlineStr">
        <is>
          <t>P1</t>
        </is>
      </c>
      <c r="H30" s="50" t="inlineStr">
        <is>
          <t>M</t>
        </is>
      </c>
      <c r="I30" s="48" t="inlineStr">
        <is>
          <t>Track A</t>
        </is>
      </c>
      <c r="J30" s="48" t="n"/>
      <c r="K30" s="51" t="inlineStr">
        <is>
          <t>Done</t>
        </is>
      </c>
      <c r="L30" s="52" t="inlineStr">
        <is>
          <t>routes/chats.js:987-1002 soft-delete; tombstone app/chat.tsx:3584-3587</t>
        </is>
      </c>
      <c r="M30" s="52" t="inlineStr">
        <is>
          <t>Fixed 2026-07-11: revoke window enforced server-side (2d12h, WhatsApp parity) + client hint; legacy edit/delete socket relays removed</t>
        </is>
      </c>
      <c r="N30" s="27" t="inlineStr">
        <is>
          <t>FIXED 2026-07-11</t>
        </is>
      </c>
    </row>
    <row r="31" ht="23.85" customHeight="1" s="28">
      <c r="A31" s="46" t="inlineStr">
        <is>
          <t>VC-030</t>
        </is>
      </c>
      <c r="B31" s="57" t="inlineStr">
        <is>
          <t>Data Flow</t>
        </is>
      </c>
      <c r="C31" s="48" t="inlineStr">
        <is>
          <t>Message ops</t>
        </is>
      </c>
      <c r="D31" s="48" t="inlineStr">
        <is>
          <t>Edit message flow</t>
        </is>
      </c>
      <c r="E31" s="48" t="inlineStr">
        <is>
          <t>Edit as new E2EE message referencing original; 15-min window; receiver replaces text, keeps ID, shows Edited tag.</t>
        </is>
      </c>
      <c r="F31" s="48" t="inlineStr">
        <is>
          <t>Edited tag mechanics</t>
        </is>
      </c>
      <c r="G31" s="55" t="inlineStr">
        <is>
          <t>P2</t>
        </is>
      </c>
      <c r="H31" s="50" t="inlineStr">
        <is>
          <t>M</t>
        </is>
      </c>
      <c r="I31" s="48" t="inlineStr">
        <is>
          <t>Later</t>
        </is>
      </c>
      <c r="J31" s="48" t="n"/>
      <c r="K31" s="51" t="inlineStr">
        <is>
          <t>Done</t>
        </is>
      </c>
      <c r="L31" s="52" t="inlineStr">
        <is>
          <t>lib/chatService.ts:622-627; 15-min window routes/chats.js:62,971; 'edited' tag chat.tsx:3859</t>
        </is>
      </c>
      <c r="M31" s="52" t="inlineStr">
        <is>
          <t>In-place PATCH rather than a new referencing message (same outcome)</t>
        </is>
      </c>
      <c r="N31" s="27" t="inlineStr">
        <is>
          <t>2026-07-09 vs source</t>
        </is>
      </c>
    </row>
    <row r="32" ht="23.85" customHeight="1" s="28">
      <c r="A32" s="46" t="inlineStr">
        <is>
          <t>VC-031</t>
        </is>
      </c>
      <c r="B32" s="57" t="inlineStr">
        <is>
          <t>Data Flow</t>
        </is>
      </c>
      <c r="C32" s="48" t="inlineStr">
        <is>
          <t>Message ops</t>
        </is>
      </c>
      <c r="D32" s="48" t="inlineStr">
        <is>
          <t>Reactions as reference messages</t>
        </is>
      </c>
      <c r="E32" s="48" t="inlineStr">
        <is>
          <t>Tiny E2EE message referencing target; client aggregates counts; reactor list view.</t>
        </is>
      </c>
      <c r="F32" s="48" t="inlineStr">
        <is>
          <t>message_add_on model</t>
        </is>
      </c>
      <c r="G32" s="53" t="inlineStr">
        <is>
          <t>P1</t>
        </is>
      </c>
      <c r="H32" s="50" t="inlineStr">
        <is>
          <t>M</t>
        </is>
      </c>
      <c r="I32" s="48" t="inlineStr">
        <is>
          <t>Track A</t>
        </is>
      </c>
      <c r="J32" s="48" t="n"/>
      <c r="K32" s="51" t="inlineStr">
        <is>
          <t>Done</t>
        </is>
      </c>
      <c r="L32" s="52" t="inlineStr">
        <is>
          <t>getReactionCounts chatService.ts:1276-1282; listReactors :1272-1274</t>
        </is>
      </c>
      <c r="M32" s="52" t="inlineStr">
        <is>
          <t>Fixed 2026-07-11: reactions are E2EE reference messages ({reactsTo,op,emoji} sealed in content, meta null); client aggregates, one-per-user WhatsApp model; server side-effects guarded; legacy plaintext endpoints kept read-only for old builds</t>
        </is>
      </c>
      <c r="N32" s="27" t="inlineStr">
        <is>
          <t>FIXED 2026-07-11</t>
        </is>
      </c>
    </row>
    <row r="33" ht="23.85" customHeight="1" s="28">
      <c r="A33" s="46" t="inlineStr">
        <is>
          <t>VC-032</t>
        </is>
      </c>
      <c r="B33" s="57" t="inlineStr">
        <is>
          <t>Data Flow</t>
        </is>
      </c>
      <c r="C33" s="48" t="inlineStr">
        <is>
          <t>Message ops</t>
        </is>
      </c>
      <c r="D33" s="48" t="inlineStr">
        <is>
          <t>Quoted reply with snapshot</t>
        </is>
      </c>
      <c r="E33" s="48" t="inlineStr">
        <is>
          <t>Reply embeds quoted ID + content snapshot; tap scrolls to original via local lookup.</t>
        </is>
      </c>
      <c r="F33" s="48" t="inlineStr">
        <is>
          <t>Quoted bubble + jump</t>
        </is>
      </c>
      <c r="G33" s="53" t="inlineStr">
        <is>
          <t>P1</t>
        </is>
      </c>
      <c r="H33" s="50" t="inlineStr">
        <is>
          <t>M</t>
        </is>
      </c>
      <c r="I33" s="48" t="inlineStr">
        <is>
          <t>Track A</t>
        </is>
      </c>
      <c r="J33" s="48" t="n"/>
      <c r="K33" s="54" t="inlineStr">
        <is>
          <t>Partial</t>
        </is>
      </c>
      <c r="L33" s="52" t="inlineStr">
        <is>
          <t>replyToId chatService.ts:564,577; local resolveReply chat.tsx:361-363; jump 1648-1673</t>
        </is>
      </c>
      <c r="M33" s="52" t="inlineStr">
        <is>
          <t>No content snapshot embedded; renders 'Tap to view' if original not cached locally</t>
        </is>
      </c>
      <c r="N33" s="27" t="inlineStr">
        <is>
          <t>2026-07-09 vs source</t>
        </is>
      </c>
    </row>
    <row r="34" ht="23.85" customHeight="1" s="28">
      <c r="A34" s="46" t="inlineStr">
        <is>
          <t>VC-033</t>
        </is>
      </c>
      <c r="B34" s="57" t="inlineStr">
        <is>
          <t>Data Flow</t>
        </is>
      </c>
      <c r="C34" s="48" t="inlineStr">
        <is>
          <t>Message ops</t>
        </is>
      </c>
      <c r="D34" s="48" t="inlineStr">
        <is>
          <t>Forward metadata + limits</t>
        </is>
      </c>
      <c r="E34" s="48" t="inlineStr">
        <is>
          <t>Carry forward-count; show Forwarded / Forwarded many times; enforce 5-chat / 1-chat limits.</t>
        </is>
      </c>
      <c r="F34" s="48" t="inlineStr">
        <is>
          <t>Anti-viral forward limits</t>
        </is>
      </c>
      <c r="G34" s="55" t="inlineStr">
        <is>
          <t>P2</t>
        </is>
      </c>
      <c r="H34" s="50" t="inlineStr">
        <is>
          <t>S</t>
        </is>
      </c>
      <c r="I34" s="48" t="inlineStr">
        <is>
          <t>Later</t>
        </is>
      </c>
      <c r="J34" s="48" t="n"/>
      <c r="K34" s="54" t="inlineStr">
        <is>
          <t>Partial</t>
        </is>
      </c>
      <c r="L34" s="52" t="inlineStr">
        <is>
          <t>meta.forwardedFrom chatService.ts:1288-1297; label chat.tsx:3684</t>
        </is>
      </c>
      <c r="M34" s="52" t="inlineStr">
        <is>
          <t>No forward-count, no 'Forwarded many times', no 5-chat/1-chat limits</t>
        </is>
      </c>
      <c r="N34" s="27" t="inlineStr">
        <is>
          <t>2026-07-09 vs source</t>
        </is>
      </c>
    </row>
    <row r="35" ht="23.85" customHeight="1" s="28">
      <c r="A35" s="46" t="inlineStr">
        <is>
          <t>VC-034</t>
        </is>
      </c>
      <c r="B35" s="57" t="inlineStr">
        <is>
          <t>Data Flow</t>
        </is>
      </c>
      <c r="C35" s="48" t="inlineStr">
        <is>
          <t>Message ops</t>
        </is>
      </c>
      <c r="D35" s="48" t="inlineStr">
        <is>
          <t>Mentions metadata + mute bypass</t>
        </is>
      </c>
      <c r="E35" s="48" t="inlineStr">
        <is>
          <t>@mention JIDs in payload; mentioned user notified even in muted group.</t>
        </is>
      </c>
      <c r="F35" s="48" t="inlineStr">
        <is>
          <t>Mention notification override</t>
        </is>
      </c>
      <c r="G35" s="53" t="inlineStr">
        <is>
          <t>P1</t>
        </is>
      </c>
      <c r="H35" s="50" t="inlineStr">
        <is>
          <t>S</t>
        </is>
      </c>
      <c r="I35" s="48" t="inlineStr">
        <is>
          <t>Track A</t>
        </is>
      </c>
      <c r="J35" s="48" t="n"/>
      <c r="K35" s="51" t="inlineStr">
        <is>
          <t>Done</t>
        </is>
      </c>
      <c r="L35" s="52" t="inlineStr">
        <is>
          <t>meta.mentions chat.tsx:804-805; mute bypass routes/chats.js:131-146</t>
        </is>
      </c>
      <c r="M35" s="52" t="inlineStr"/>
      <c r="N35" s="27" t="inlineStr">
        <is>
          <t>2026-07-09 vs source</t>
        </is>
      </c>
    </row>
    <row r="36" ht="23.85" customHeight="1" s="28">
      <c r="A36" s="46" t="inlineStr">
        <is>
          <t>VC-035</t>
        </is>
      </c>
      <c r="B36" s="57" t="inlineStr">
        <is>
          <t>Data Flow</t>
        </is>
      </c>
      <c r="C36" s="48" t="inlineStr">
        <is>
          <t>Groups</t>
        </is>
      </c>
      <c r="D36" s="48" t="inlineStr">
        <is>
          <t>Sender Key distribution on join</t>
        </is>
      </c>
      <c r="E36" s="48" t="inlineStr">
        <is>
          <t>Distribute sender key via pairwise Signal sessions once per member; one ciphertext per group message after.</t>
        </is>
      </c>
      <c r="F36" s="48" t="inlineStr">
        <is>
          <t>Sender Keys architecture</t>
        </is>
      </c>
      <c r="G36" s="49" t="inlineStr">
        <is>
          <t>P0</t>
        </is>
      </c>
      <c r="H36" s="50" t="inlineStr">
        <is>
          <t>M</t>
        </is>
      </c>
      <c r="I36" s="48" t="inlineStr">
        <is>
          <t>Track F</t>
        </is>
      </c>
      <c r="J36" s="48" t="n"/>
      <c r="K36" s="51" t="inlineStr">
        <is>
          <t>Done</t>
        </is>
      </c>
      <c r="L36" s="52" t="inlineStr">
        <is>
          <t>services/crypto/groupSession.rn.ts:60-72 SKDM over pairwise ratchet; migrations/040_group_sender_keys.sql</t>
        </is>
      </c>
      <c r="M36" s="52" t="inlineStr"/>
      <c r="N36" s="27" t="inlineStr">
        <is>
          <t>2026-07-09 vs source</t>
        </is>
      </c>
    </row>
    <row r="37" ht="35.05" customHeight="1" s="28">
      <c r="A37" s="46" t="inlineStr">
        <is>
          <t>VC-036</t>
        </is>
      </c>
      <c r="B37" s="57" t="inlineStr">
        <is>
          <t>Data Flow</t>
        </is>
      </c>
      <c r="C37" s="48" t="inlineStr">
        <is>
          <t>Groups</t>
        </is>
      </c>
      <c r="D37" s="48" t="inlineStr">
        <is>
          <t>Sender Key rotation on member removal</t>
        </is>
      </c>
      <c r="E37" s="48" t="inlineStr">
        <is>
          <t>All members generate+redistribute new sender keys when anyone leaves/removed. Acceptance test: departed member cannot decrypt post-leave traffic.</t>
        </is>
      </c>
      <c r="F37" s="48" t="inlineStr">
        <is>
          <t>Membership-level forward secrecy</t>
        </is>
      </c>
      <c r="G37" s="49" t="inlineStr">
        <is>
          <t>P0</t>
        </is>
      </c>
      <c r="H37" s="50" t="inlineStr">
        <is>
          <t>M</t>
        </is>
      </c>
      <c r="I37" s="48" t="inlineStr">
        <is>
          <t>Track F</t>
        </is>
      </c>
      <c r="J37" s="48" t="inlineStr">
        <is>
          <t>Sender Key distribution</t>
        </is>
      </c>
      <c r="K37" s="51" t="inlineStr">
        <is>
          <t>Done</t>
        </is>
      </c>
      <c r="L37" s="52" t="inlineStr">
        <is>
          <t>groupSession.rn.ts:80-88 rotate+redistribute on removal; departed filtered :54-57</t>
        </is>
      </c>
      <c r="M37" s="52" t="inlineStr">
        <is>
          <t>Rotation is lazy (on next send), not eager on the removal event</t>
        </is>
      </c>
      <c r="N37" s="27" t="inlineStr">
        <is>
          <t>2026-07-09 vs source</t>
        </is>
      </c>
    </row>
    <row r="38" ht="23.85" customHeight="1" s="28">
      <c r="A38" s="46" t="inlineStr">
        <is>
          <t>VC-037</t>
        </is>
      </c>
      <c r="B38" s="57" t="inlineStr">
        <is>
          <t>Data Flow</t>
        </is>
      </c>
      <c r="C38" s="48" t="inlineStr">
        <is>
          <t>Groups</t>
        </is>
      </c>
      <c r="D38" s="48" t="inlineStr">
        <is>
          <t>Group blue-tick aggregation</t>
        </is>
      </c>
      <c r="E38" s="48" t="inlineStr">
        <is>
          <t>Read state = ALL members read; per-member receipt rollup in Message Info.</t>
        </is>
      </c>
      <c r="F38" s="48" t="inlineStr">
        <is>
          <t>All-member read requirement</t>
        </is>
      </c>
      <c r="G38" s="55" t="inlineStr">
        <is>
          <t>P2</t>
        </is>
      </c>
      <c r="H38" s="50" t="inlineStr">
        <is>
          <t>S</t>
        </is>
      </c>
      <c r="I38" s="48" t="inlineStr">
        <is>
          <t>Later</t>
        </is>
      </c>
      <c r="J38" s="48" t="n"/>
      <c r="K38" s="51" t="inlineStr">
        <is>
          <t>Done</t>
        </is>
      </c>
      <c r="L38" s="52" t="inlineStr">
        <is>
          <t>per-member rollup app/chat.tsx:2373-2410</t>
        </is>
      </c>
      <c r="M38" s="52" t="inlineStr">
        <is>
          <t>Done (fixed 2026-07-10: blue tick = ALL current recipients)</t>
        </is>
      </c>
      <c r="N38" s="27" t="inlineStr">
        <is>
          <t>FIXED 2026-07-10</t>
        </is>
      </c>
    </row>
    <row r="39" ht="23.85" customHeight="1" s="28">
      <c r="A39" s="46" t="inlineStr">
        <is>
          <t>VC-038</t>
        </is>
      </c>
      <c r="B39" s="57" t="inlineStr">
        <is>
          <t>Data Flow</t>
        </is>
      </c>
      <c r="C39" s="48" t="inlineStr">
        <is>
          <t>Server queue</t>
        </is>
      </c>
      <c r="D39" s="48" t="inlineStr">
        <is>
          <t>Per-device offline queue, delete on delivery</t>
        </is>
      </c>
      <c r="E39" s="48" t="inlineStr">
        <is>
          <t>BullMQ/PG job deletes ciphertext row once device acks; TTL expiry ~30 days for undelivered.</t>
        </is>
      </c>
      <c r="F39" s="48" t="inlineStr">
        <is>
          <t>Store-and-forward, delete on delivery</t>
        </is>
      </c>
      <c r="G39" s="49" t="inlineStr">
        <is>
          <t>P0</t>
        </is>
      </c>
      <c r="H39" s="50" t="inlineStr">
        <is>
          <t>M</t>
        </is>
      </c>
      <c r="I39" s="48" t="inlineStr">
        <is>
          <t>Track A</t>
        </is>
      </c>
      <c r="J39" s="48" t="n"/>
      <c r="K39" s="54" t="inlineStr">
        <is>
          <t>Partial</t>
        </is>
      </c>
      <c r="L39" s="52" t="inlineStr">
        <is>
          <t>server.js:168-227 sweepDeliveredMessages + DOD_MAX_DAYS</t>
        </is>
      </c>
      <c r="M39" s="52" t="inlineStr">
        <is>
          <t>Per-user not per-device; DELETE_ON_DELIVERY off by default; TTL default 0 = never (not 30d)</t>
        </is>
      </c>
      <c r="N39" s="27" t="inlineStr">
        <is>
          <t>2026-07-09 vs source</t>
        </is>
      </c>
    </row>
    <row r="40" ht="23.85" customHeight="1" s="28">
      <c r="A40" s="46" t="inlineStr">
        <is>
          <t>VC-039</t>
        </is>
      </c>
      <c r="B40" s="57" t="inlineStr">
        <is>
          <t>Data Flow</t>
        </is>
      </c>
      <c r="C40" s="48" t="inlineStr">
        <is>
          <t>Server queue</t>
        </is>
      </c>
      <c r="D40" s="48" t="inlineStr">
        <is>
          <t>Retention model decision + policy doc</t>
        </is>
      </c>
      <c r="E40" s="48" t="inlineStr">
        <is>
          <t>Choose queue-only vs encrypted mailbox; document in privacy policy; drives backup requirements.</t>
        </is>
      </c>
      <c r="F40" s="48" t="inlineStr">
        <is>
          <t>Queue-only (privacy asset)</t>
        </is>
      </c>
      <c r="G40" s="49" t="inlineStr">
        <is>
          <t>P0</t>
        </is>
      </c>
      <c r="H40" s="50" t="inlineStr">
        <is>
          <t>S</t>
        </is>
      </c>
      <c r="I40" s="48" t="inlineStr">
        <is>
          <t>Track A</t>
        </is>
      </c>
      <c r="J40" s="48" t="n"/>
      <c r="K40" s="54" t="inlineStr">
        <is>
          <t>Partial</t>
        </is>
      </c>
      <c r="L40" s="52" t="inlineStr">
        <is>
          <t>server.js:168-183 comments; migrations/044_attachment_retention.sql</t>
        </is>
      </c>
      <c r="M40" s="52" t="inlineStr">
        <is>
          <t>No standalone retention/privacy policy doc; decision only in code comments</t>
        </is>
      </c>
      <c r="N40" s="27" t="inlineStr">
        <is>
          <t>2026-07-09 vs source</t>
        </is>
      </c>
    </row>
    <row r="41" ht="23.85" customHeight="1" s="28">
      <c r="A41" s="46" t="inlineStr">
        <is>
          <t>VC-040</t>
        </is>
      </c>
      <c r="B41" s="57" t="inlineStr">
        <is>
          <t>Data Flow</t>
        </is>
      </c>
      <c r="C41" s="48" t="inlineStr">
        <is>
          <t>Push</t>
        </is>
      </c>
      <c r="D41" s="48" t="inlineStr">
        <is>
          <t>FCM high-priority data doorbell</t>
        </is>
      </c>
      <c r="E41" s="48" t="inlineStr">
        <is>
          <t>Content-free push wakes app -&gt; socket connect -&gt; queue drain. Never put message content in push payload.</t>
        </is>
      </c>
      <c r="F41" s="48" t="inlineStr">
        <is>
          <t>FCM as doorbell only</t>
        </is>
      </c>
      <c r="G41" s="49" t="inlineStr">
        <is>
          <t>P0</t>
        </is>
      </c>
      <c r="H41" s="50" t="inlineStr">
        <is>
          <t>M</t>
        </is>
      </c>
      <c r="I41" s="48" t="inlineStr">
        <is>
          <t>Track A</t>
        </is>
      </c>
      <c r="J41" s="48" t="n"/>
      <c r="K41" s="51" t="inlineStr">
        <is>
          <t>Done</t>
        </is>
      </c>
      <c r="L41" s="52" t="inlineStr">
        <is>
          <t>calls doorbell routes/calls.js:57-89; VaultCallMessagingService.kt:63-69</t>
        </is>
      </c>
      <c r="M41" s="52" t="inlineStr">
        <is>
          <t>Fixed 2026-07-11: message push is a content-free doorbell — data-only FCM to fcm_token devices (native local notification, name from on-device directory), generic Expo fallback for others; channel post push genericized too</t>
        </is>
      </c>
      <c r="N41" s="27" t="inlineStr">
        <is>
          <t>FIXED 2026-07-11</t>
        </is>
      </c>
    </row>
    <row r="42" ht="23.85" customHeight="1" s="28">
      <c r="A42" s="46" t="inlineStr">
        <is>
          <t>VC-041</t>
        </is>
      </c>
      <c r="B42" s="57" t="inlineStr">
        <is>
          <t>Data Flow</t>
        </is>
      </c>
      <c r="C42" s="48" t="inlineStr">
        <is>
          <t>Push</t>
        </is>
      </c>
      <c r="D42" s="48" t="inlineStr">
        <is>
          <t>No-GMS fallback: foreground-service socket</t>
        </is>
      </c>
      <c r="E42" s="48" t="inlineStr">
        <is>
          <t>Persistent notification + socket for devices without Play Services (incl. your P30 Pro); battery-exemption onboarding.</t>
        </is>
      </c>
      <c r="F42" s="48" t="inlineStr">
        <is>
          <t>WhatsApp maintains own socket on Huawei</t>
        </is>
      </c>
      <c r="G42" s="49" t="inlineStr">
        <is>
          <t>P0</t>
        </is>
      </c>
      <c r="H42" s="50" t="inlineStr">
        <is>
          <t>L</t>
        </is>
      </c>
      <c r="I42" s="48" t="inlineStr">
        <is>
          <t>Track A</t>
        </is>
      </c>
      <c r="J42" s="48" t="n"/>
      <c r="K42" s="54" t="inlineStr">
        <is>
          <t>Partial</t>
        </is>
      </c>
      <c r="L42" s="52" t="inlineStr">
        <is>
          <t>batteryOptimization.ts:36-153; CallForegroundService.kt</t>
        </is>
      </c>
      <c r="M42" s="52" t="inlineStr">
        <is>
          <t>Foreground service is CALL-ONLY; no persistent message socket, no Play-Services detection/fallback</t>
        </is>
      </c>
      <c r="N42" s="27" t="inlineStr">
        <is>
          <t>2026-07-09 vs source</t>
        </is>
      </c>
    </row>
    <row r="43" ht="15" customHeight="1" s="28">
      <c r="A43" s="46" t="inlineStr">
        <is>
          <t>VC-042</t>
        </is>
      </c>
      <c r="B43" s="57" t="inlineStr">
        <is>
          <t>Data Flow</t>
        </is>
      </c>
      <c r="C43" s="48" t="inlineStr">
        <is>
          <t>Push</t>
        </is>
      </c>
      <c r="D43" s="48" t="inlineStr">
        <is>
          <t>HMS Push Kit integration (Huawei)</t>
        </is>
      </c>
      <c r="E43" s="48" t="inlineStr">
        <is>
          <t>Native doorbell for Huawei EMUI/HarmonyOS users.</t>
        </is>
      </c>
      <c r="F43" s="48" t="inlineStr">
        <is>
          <t>N/A (WA uses own socket)</t>
        </is>
      </c>
      <c r="G43" s="55" t="inlineStr">
        <is>
          <t>P2</t>
        </is>
      </c>
      <c r="H43" s="50" t="inlineStr">
        <is>
          <t>M</t>
        </is>
      </c>
      <c r="I43" s="48" t="inlineStr">
        <is>
          <t>Later</t>
        </is>
      </c>
      <c r="J43" s="48" t="n"/>
      <c r="K43" s="56" t="inlineStr">
        <is>
          <t>Not Started</t>
        </is>
      </c>
      <c r="L43" s="52" t="inlineStr">
        <is>
          <t>no HMS/Push Kit references anywhere</t>
        </is>
      </c>
      <c r="M43" s="52" t="inlineStr">
        <is>
          <t>No HMS SDK/agconnect/token</t>
        </is>
      </c>
      <c r="N43" s="27" t="inlineStr">
        <is>
          <t>2026-07-09 vs source</t>
        </is>
      </c>
    </row>
    <row r="44" ht="23.85" customHeight="1" s="28">
      <c r="A44" s="46" t="inlineStr">
        <is>
          <t>VC-043</t>
        </is>
      </c>
      <c r="B44" s="57" t="inlineStr">
        <is>
          <t>Data Flow</t>
        </is>
      </c>
      <c r="C44" s="48" t="inlineStr">
        <is>
          <t>Push</t>
        </is>
      </c>
      <c r="D44" s="48" t="inlineStr">
        <is>
          <t>iOS APNs + NSE decrypt pipeline</t>
        </is>
      </c>
      <c r="E44" s="48" t="inlineStr">
        <is>
          <t>Notification Service Extension pulls, decrypts, rewrites notification locally.</t>
        </is>
      </c>
      <c r="F44" s="48" t="inlineStr">
        <is>
          <t>APNs + NSE model</t>
        </is>
      </c>
      <c r="G44" s="55" t="inlineStr">
        <is>
          <t>P2</t>
        </is>
      </c>
      <c r="H44" s="50" t="inlineStr">
        <is>
          <t>L</t>
        </is>
      </c>
      <c r="I44" s="48" t="inlineStr">
        <is>
          <t>Later</t>
        </is>
      </c>
      <c r="J44" s="48" t="n"/>
      <c r="K44" s="56" t="inlineStr">
        <is>
          <t>Not Started</t>
        </is>
      </c>
      <c r="L44" s="52" t="inlineStr">
        <is>
          <t>generic Expo push lib/push.ts; voip modes withVaultChatCalls.js:158-167</t>
        </is>
      </c>
      <c r="M44" s="52" t="inlineStr">
        <is>
          <t>No Notification Service Extension target, no APNs decrypt pipeline</t>
        </is>
      </c>
      <c r="N44" s="27" t="inlineStr">
        <is>
          <t>2026-07-09 vs source</t>
        </is>
      </c>
    </row>
    <row r="45" ht="35.05" customHeight="1" s="28">
      <c r="A45" s="46" t="inlineStr">
        <is>
          <t>VC-044</t>
        </is>
      </c>
      <c r="B45" s="57" t="inlineStr">
        <is>
          <t>Data Flow</t>
        </is>
      </c>
      <c r="C45" s="48" t="inlineStr">
        <is>
          <t>Identity</t>
        </is>
      </c>
      <c r="D45" s="48" t="inlineStr">
        <is>
          <t>Contact discovery via hashed sync</t>
        </is>
      </c>
      <c r="E45" s="48" t="inlineStr">
        <is>
          <t>Normalize + HMAC address book numbers; server matches registered users; populate local contacts mirror. Reuse existing HMAC-SHA256 lookup pattern.</t>
        </is>
      </c>
      <c r="F45" s="48" t="inlineStr">
        <is>
          <t>Contact discovery service + wa.db</t>
        </is>
      </c>
      <c r="G45" s="49" t="inlineStr">
        <is>
          <t>P0</t>
        </is>
      </c>
      <c r="H45" s="50" t="inlineStr">
        <is>
          <t>M</t>
        </is>
      </c>
      <c r="I45" s="48" t="inlineStr">
        <is>
          <t>Track A</t>
        </is>
      </c>
      <c r="J45" s="48" t="n"/>
      <c r="K45" s="51" t="inlineStr">
        <is>
          <t>Done</t>
        </is>
      </c>
      <c r="L45" s="52" t="inlineStr">
        <is>
          <t>routes/contacts.js:26-72; client hash lib/chatService.ts:1320-1360</t>
        </is>
      </c>
      <c r="M45" s="52" t="inlineStr">
        <is>
          <t>Fixed 2026-07-11: server-side pepper HMAC(pepper, sha256(digits)) on all 5 hash sites + /contacts/match peppers client hashes (echoes original); one-off backfill script scripts/pepper-phone-hash-backfill.js (self-gating) also seals legacy plaintext phone into phone_cipher</t>
        </is>
      </c>
      <c r="N45" s="27" t="inlineStr">
        <is>
          <t>FIXED 2026-07-11</t>
        </is>
      </c>
    </row>
    <row r="46" ht="23.85" customHeight="1" s="28">
      <c r="A46" s="46" t="inlineStr">
        <is>
          <t>VC-045</t>
        </is>
      </c>
      <c r="B46" s="57" t="inlineStr">
        <is>
          <t>Data Flow</t>
        </is>
      </c>
      <c r="C46" s="48" t="inlineStr">
        <is>
          <t>Identity</t>
        </is>
      </c>
      <c r="D46" s="48" t="inlineStr">
        <is>
          <t>Push name in message envelope</t>
        </is>
      </c>
      <c r="E46" s="48" t="inlineStr">
        <is>
          <t>Sender display name rides in payload; receivers without contact see it; cached locally.</t>
        </is>
      </c>
      <c r="F46" s="48" t="inlineStr">
        <is>
          <t>Push name piggyback</t>
        </is>
      </c>
      <c r="G46" s="53" t="inlineStr">
        <is>
          <t>P1</t>
        </is>
      </c>
      <c r="H46" s="50" t="inlineStr">
        <is>
          <t>S</t>
        </is>
      </c>
      <c r="I46" s="48" t="inlineStr">
        <is>
          <t>Track A</t>
        </is>
      </c>
      <c r="J46" s="48" t="n"/>
      <c r="K46" s="54" t="inlineStr">
        <is>
          <t>Partial</t>
        </is>
      </c>
      <c r="L46" s="52" t="inlineStr">
        <is>
          <t>sender name only in push title routes/chats.js:172,179</t>
        </is>
      </c>
      <c r="M46" s="52" t="inlineStr">
        <is>
          <t>No pushName field in the message envelope; receivers resolve from local contacts</t>
        </is>
      </c>
      <c r="N46" s="27" t="inlineStr">
        <is>
          <t>2026-07-09 vs source</t>
        </is>
      </c>
    </row>
    <row r="47" ht="23.85" customHeight="1" s="28">
      <c r="A47" s="46" t="inlineStr">
        <is>
          <t>VC-046</t>
        </is>
      </c>
      <c r="B47" s="57" t="inlineStr">
        <is>
          <t>Data Flow</t>
        </is>
      </c>
      <c r="C47" s="48" t="inlineStr">
        <is>
          <t>Identity</t>
        </is>
      </c>
      <c r="D47" s="48" t="inlineStr">
        <is>
          <t>Security-code-changed notices</t>
        </is>
      </c>
      <c r="E47" s="48" t="inlineStr">
        <is>
          <t>On peer re-registration, show system bubble (setting-gated); block auto-resend until keys refetched.</t>
        </is>
      </c>
      <c r="F47" s="48" t="inlineStr">
        <is>
          <t>Key change notification</t>
        </is>
      </c>
      <c r="G47" s="53" t="inlineStr">
        <is>
          <t>P1</t>
        </is>
      </c>
      <c r="H47" s="50" t="inlineStr">
        <is>
          <t>M</t>
        </is>
      </c>
      <c r="I47" s="48" t="inlineStr">
        <is>
          <t>Track F</t>
        </is>
      </c>
      <c r="J47" s="48" t="n"/>
      <c r="K47" s="54" t="inlineStr">
        <is>
          <t>Partial</t>
        </is>
      </c>
      <c r="L47" s="52" t="inlineStr">
        <is>
          <t>manual verify: services/security/safetyNumber.ts; app/verify-contact.tsx</t>
        </is>
      </c>
      <c r="M47" s="52" t="inlineStr">
        <is>
          <t>No automatic identity-key-change detection, no system bubble, no auto-resend block</t>
        </is>
      </c>
      <c r="N47" s="27" t="inlineStr">
        <is>
          <t>2026-07-09 vs source</t>
        </is>
      </c>
    </row>
    <row r="48" ht="23.85" customHeight="1" s="28">
      <c r="A48" s="46" t="inlineStr">
        <is>
          <t>VC-047</t>
        </is>
      </c>
      <c r="B48" s="57" t="inlineStr">
        <is>
          <t>Data Flow</t>
        </is>
      </c>
      <c r="C48" s="48" t="inlineStr">
        <is>
          <t>Identity</t>
        </is>
      </c>
      <c r="D48" s="48" t="inlineStr">
        <is>
          <t>Prekey directory + one-time prekey replenishment</t>
        </is>
      </c>
      <c r="E48" s="48" t="inlineStr">
        <is>
          <t>Server stores identity/signed/one-time prekeys per device; client tops up pool when low; X3DH fetch endpoint.</t>
        </is>
      </c>
      <c r="F48" s="48" t="inlineStr">
        <is>
          <t>Key directory service</t>
        </is>
      </c>
      <c r="G48" s="49" t="inlineStr">
        <is>
          <t>P0</t>
        </is>
      </c>
      <c r="H48" s="50" t="inlineStr">
        <is>
          <t>M</t>
        </is>
      </c>
      <c r="I48" s="48" t="inlineStr">
        <is>
          <t>Track A</t>
        </is>
      </c>
      <c r="J48" s="48" t="n"/>
      <c r="K48" s="51" t="inlineStr">
        <is>
          <t>Done</t>
        </is>
      </c>
      <c r="L48" s="52" t="inlineStr">
        <is>
          <t>migrations/011_prekeys.sql; routes/user.js:1256-1401 X3DH + atomic OTPK consume; top-up e2eeSession.ts:181</t>
        </is>
      </c>
      <c r="M48" s="52" t="inlineStr">
        <is>
          <t>Keys are per-user (identity_keys PK=user_id), not per-device</t>
        </is>
      </c>
      <c r="N48" s="27" t="inlineStr">
        <is>
          <t>2026-07-09 vs source</t>
        </is>
      </c>
    </row>
    <row r="49" ht="23.85" customHeight="1" s="28">
      <c r="A49" s="46" t="inlineStr">
        <is>
          <t>VC-048</t>
        </is>
      </c>
      <c r="B49" s="57" t="inlineStr">
        <is>
          <t>Data Flow</t>
        </is>
      </c>
      <c r="C49" s="48" t="inlineStr">
        <is>
          <t>Privacy</t>
        </is>
      </c>
      <c r="D49" s="48" t="inlineStr">
        <is>
          <t>Server-side privacy gating (last seen/photo/about)</t>
        </is>
      </c>
      <c r="E49" s="48" t="inlineStr">
        <is>
          <t>Enforce visibility rules on server, not client; block list stops delivery+presence+status.</t>
        </is>
      </c>
      <c r="F49" s="48" t="inlineStr">
        <is>
          <t>Server-enforced privacy flags</t>
        </is>
      </c>
      <c r="G49" s="53" t="inlineStr">
        <is>
          <t>P1</t>
        </is>
      </c>
      <c r="H49" s="50" t="inlineStr">
        <is>
          <t>M</t>
        </is>
      </c>
      <c r="I49" s="48" t="inlineStr">
        <is>
          <t>Track A</t>
        </is>
      </c>
      <c r="J49" s="48" t="n"/>
      <c r="K49" s="54" t="inlineStr">
        <is>
          <t>Partial</t>
        </is>
      </c>
      <c r="L49" s="52" t="inlineStr">
        <is>
          <t>last-seen server.js:465-471; block stops delivery chats.js:143-145; stories.js:55-71</t>
        </is>
      </c>
      <c r="M49" s="52" t="inlineStr">
        <is>
          <t>'About' not gated; profile_photo_visible column unused in /chats fanout; broadcastPresence ignores blockers</t>
        </is>
      </c>
      <c r="N49" s="27" t="inlineStr">
        <is>
          <t>2026-07-09 vs source</t>
        </is>
      </c>
    </row>
    <row r="50" ht="23.85" customHeight="1" s="28">
      <c r="A50" s="46" t="inlineStr">
        <is>
          <t>VC-049</t>
        </is>
      </c>
      <c r="B50" s="57" t="inlineStr">
        <is>
          <t>Data Flow</t>
        </is>
      </c>
      <c r="C50" s="48" t="inlineStr">
        <is>
          <t>Media</t>
        </is>
      </c>
      <c r="D50" s="48" t="inlineStr">
        <is>
          <t>Random media key + HKDF encrypt + R2 upload</t>
        </is>
      </c>
      <c r="E50" s="48" t="inlineStr">
        <is>
          <t>Per-file 32B key; AES-256-GCM ciphertext to R2; server never sees plaintext; hashes computed.</t>
        </is>
      </c>
      <c r="F50" s="48" t="inlineStr">
        <is>
          <t>Media key model (CBC+HMAC legacy)</t>
        </is>
      </c>
      <c r="G50" s="49" t="inlineStr">
        <is>
          <t>P0</t>
        </is>
      </c>
      <c r="H50" s="50" t="inlineStr">
        <is>
          <t>M</t>
        </is>
      </c>
      <c r="I50" s="48" t="inlineStr">
        <is>
          <t>Track E</t>
        </is>
      </c>
      <c r="J50" s="48" t="n"/>
      <c r="K50" s="54" t="inlineStr">
        <is>
          <t>Partial</t>
        </is>
      </c>
      <c r="L50" s="52" t="inlineStr">
        <is>
          <t>32B key + AES-256-GCM lib/mediaCrypto.ts:20-41; opaque upload mediaAttachments.ts:21-38</t>
        </is>
      </c>
      <c r="M50" s="52" t="inlineStr">
        <is>
          <t>NO CONTENT HASHES computed (only the GCM auth tag provides integrity)</t>
        </is>
      </c>
      <c r="N50" s="27" t="inlineStr">
        <is>
          <t>2026-07-09 vs source</t>
        </is>
      </c>
    </row>
    <row r="51" ht="23.85" customHeight="1" s="28">
      <c r="A51" s="46" t="inlineStr">
        <is>
          <t>VC-050</t>
        </is>
      </c>
      <c r="B51" s="57" t="inlineStr">
        <is>
          <t>Data Flow</t>
        </is>
      </c>
      <c r="C51" s="48" t="inlineStr">
        <is>
          <t>Media</t>
        </is>
      </c>
      <c r="D51" s="48" t="inlineStr">
        <is>
          <t>Media message carries URL+key+hashes in E2EE envelope</t>
        </is>
      </c>
      <c r="E51" s="48" t="inlineStr">
        <is>
          <t>Receiver fetches ciphertext, verifies hash/MAC, decrypts locally.</t>
        </is>
      </c>
      <c r="F51" s="48" t="inlineStr">
        <is>
          <t>Key inside Signal envelope</t>
        </is>
      </c>
      <c r="G51" s="49" t="inlineStr">
        <is>
          <t>P0</t>
        </is>
      </c>
      <c r="H51" s="50" t="inlineStr">
        <is>
          <t>M</t>
        </is>
      </c>
      <c r="I51" s="48" t="inlineStr">
        <is>
          <t>Track E</t>
        </is>
      </c>
      <c r="J51" s="48" t="inlineStr">
        <is>
          <t>Media key model</t>
        </is>
      </c>
      <c r="K51" s="54" t="inlineStr">
        <is>
          <t>Partial</t>
        </is>
      </c>
      <c r="L51" s="52" t="inlineStr">
        <is>
          <t>key rides in E2EE content mediaAttachments.ts:115-132</t>
        </is>
      </c>
      <c r="M51" s="52" t="inlineStr">
        <is>
          <t>Envelope carries key only - no URL (attachmentId sits in plaintext meta) and no hashes; no pre-decrypt verify</t>
        </is>
      </c>
      <c r="N51" s="27" t="inlineStr">
        <is>
          <t>2026-07-09 vs source</t>
        </is>
      </c>
    </row>
    <row r="52" ht="23.85" customHeight="1" s="28">
      <c r="A52" s="46" t="inlineStr">
        <is>
          <t>VC-051</t>
        </is>
      </c>
      <c r="B52" s="57" t="inlineStr">
        <is>
          <t>Data Flow</t>
        </is>
      </c>
      <c r="C52" s="48" t="inlineStr">
        <is>
          <t>Media</t>
        </is>
      </c>
      <c r="D52" s="48" t="inlineStr">
        <is>
          <t>Forward media without re-upload</t>
        </is>
      </c>
      <c r="E52" s="48" t="inlineStr">
        <is>
          <t>Re-send same URL+key in new envelope; no second upload; saves data + R2 ops.</t>
        </is>
      </c>
      <c r="F52" s="48" t="inlineStr">
        <is>
          <t>Forward optimization</t>
        </is>
      </c>
      <c r="G52" s="53" t="inlineStr">
        <is>
          <t>P1</t>
        </is>
      </c>
      <c r="H52" s="50" t="inlineStr">
        <is>
          <t>S</t>
        </is>
      </c>
      <c r="I52" s="48" t="inlineStr">
        <is>
          <t>Track E</t>
        </is>
      </c>
      <c r="J52" s="48" t="n"/>
      <c r="K52" s="51" t="inlineStr">
        <is>
          <t>Done</t>
        </is>
      </c>
      <c r="L52" s="52" t="inlineStr">
        <is>
          <t>forwardMessage chatService.ts:1288-1298 re-sends same content+attachmentId, no re-upload</t>
        </is>
      </c>
      <c r="M52" s="52" t="inlineStr"/>
      <c r="N52" s="27" t="inlineStr">
        <is>
          <t>2026-07-09 vs source</t>
        </is>
      </c>
    </row>
    <row r="53" ht="23.85" customHeight="1" s="28">
      <c r="A53" s="46" t="inlineStr">
        <is>
          <t>VC-052</t>
        </is>
      </c>
      <c r="B53" s="57" t="inlineStr">
        <is>
          <t>Data Flow</t>
        </is>
      </c>
      <c r="C53" s="48" t="inlineStr">
        <is>
          <t>Media</t>
        </is>
      </c>
      <c r="D53" s="48" t="inlineStr">
        <is>
          <t>Sender-generated link previews</t>
        </is>
      </c>
      <c r="E53" s="48" t="inlineStr">
        <is>
          <t>Compose-time fetch renders title/desc/thumb into encrypted payload; receiver never touches URL.</t>
        </is>
      </c>
      <c r="F53" s="48" t="inlineStr">
        <is>
          <t>Privacy-preserving link previews</t>
        </is>
      </c>
      <c r="G53" s="53" t="inlineStr">
        <is>
          <t>P1</t>
        </is>
      </c>
      <c r="H53" s="50" t="inlineStr">
        <is>
          <t>S</t>
        </is>
      </c>
      <c r="I53" s="48" t="inlineStr">
        <is>
          <t>Track A</t>
        </is>
      </c>
      <c r="J53" s="48" t="n"/>
      <c r="K53" s="51" t="inlineStr">
        <is>
          <t>Done</t>
        </is>
      </c>
      <c r="L53" s="52" t="inlineStr">
        <is>
          <t>components/LinkPreview.tsx:20-37 - EVERY client (incl. receiver) fetches OG at render</t>
        </is>
      </c>
      <c r="M53" s="52" t="inlineStr">
        <is>
          <t>Fixed 2026-07-11: sender-generated E2EE previews — sender device fetches OG + embeds title/desc/thumbnail-BYTES inside the E2EE payload (lib/linkPreview.ts wrap/unwrap); receiver renders from payload, never fetches; compose-time card above composer; legacy messages keep server-proxied fallback</t>
        </is>
      </c>
      <c r="N53" s="27" t="inlineStr">
        <is>
          <t>FIXED 2026-07-11</t>
        </is>
      </c>
    </row>
    <row r="54" ht="23.85" customHeight="1" s="28">
      <c r="A54" s="46" t="inlineStr">
        <is>
          <t>VC-053</t>
        </is>
      </c>
      <c r="B54" s="57" t="inlineStr">
        <is>
          <t>Data Flow</t>
        </is>
      </c>
      <c r="C54" s="48" t="inlineStr">
        <is>
          <t>Status</t>
        </is>
      </c>
      <c r="D54" s="48" t="inlineStr">
        <is>
          <t>Status sender-key fanout to audience list</t>
        </is>
      </c>
      <c r="E54" s="48" t="inlineStr">
        <is>
          <t>Privacy setting defines fanout set; media as encrypted blob; 24h client+server expiry; view receipts.</t>
        </is>
      </c>
      <c r="F54" s="48" t="inlineStr">
        <is>
          <t>Status = sender-key E2EE stories</t>
        </is>
      </c>
      <c r="G54" s="53" t="inlineStr">
        <is>
          <t>P1</t>
        </is>
      </c>
      <c r="H54" s="50" t="inlineStr">
        <is>
          <t>L</t>
        </is>
      </c>
      <c r="I54" s="48" t="inlineStr">
        <is>
          <t>Track F</t>
        </is>
      </c>
      <c r="J54" s="48" t="n"/>
      <c r="K54" s="51" t="inlineStr">
        <is>
          <t>Done</t>
        </is>
      </c>
      <c r="L54" s="52" t="inlineStr">
        <is>
          <t>lib/storyKeys.ts; status.tsx:212-218; stories.js:55-71,277-290; 24h expiry server.js:369-380</t>
        </is>
      </c>
      <c r="M54" s="52" t="inlineStr">
        <is>
          <t>Uses per-viewer key wrapping via 1:1 ratchet rather than a shared sender-key fanout</t>
        </is>
      </c>
      <c r="N54" s="27" t="inlineStr">
        <is>
          <t>2026-07-09 vs source</t>
        </is>
      </c>
    </row>
    <row r="55" ht="23.85" customHeight="1" s="28">
      <c r="A55" s="46" t="inlineStr">
        <is>
          <t>VC-054</t>
        </is>
      </c>
      <c r="B55" s="57" t="inlineStr">
        <is>
          <t>Data Flow</t>
        </is>
      </c>
      <c r="C55" s="48" t="inlineStr">
        <is>
          <t>Calls</t>
        </is>
      </c>
      <c r="D55" s="48" t="inlineStr">
        <is>
          <t>E2EE call signaling + SRTP keys in envelope</t>
        </is>
      </c>
      <c r="E55" s="48" t="inlineStr">
        <is>
          <t>Offer/answer/ICE over chat socket as E2EE messages; SRTP master secret exchanged E2EE; relay sees ciphertext only.</t>
        </is>
      </c>
      <c r="F55" s="48" t="inlineStr">
        <is>
          <t>E2EE signaling model</t>
        </is>
      </c>
      <c r="G55" s="53" t="inlineStr">
        <is>
          <t>P1</t>
        </is>
      </c>
      <c r="H55" s="50" t="inlineStr">
        <is>
          <t>L</t>
        </is>
      </c>
      <c r="I55" s="48" t="inlineStr">
        <is>
          <t>Later</t>
        </is>
      </c>
      <c r="J55" s="48" t="n"/>
      <c r="K55" s="54" t="inlineStr">
        <is>
          <t>Partial</t>
        </is>
      </c>
      <c r="L55" s="52" t="inlineStr">
        <is>
          <t>plaintext socket events app/videocall.tsx:325-353; SDP in push routes/calls.js:77</t>
        </is>
      </c>
      <c r="M55" s="52" t="inlineStr">
        <is>
          <t>2026-07-11: 1:1 call signaling now E2EE — per-call AES-256-GCM key ratchet-wrapped once (lib/callCrypto.ts); offer/answer/ICE sealed; SDP stripped from FCM push. Group calls remain plaintext (SFU work).</t>
        </is>
      </c>
      <c r="N55" s="27" t="inlineStr">
        <is>
          <t>FIXED 2026-07-11</t>
        </is>
      </c>
    </row>
    <row r="56" ht="15" customHeight="1" s="28">
      <c r="A56" s="46" t="inlineStr">
        <is>
          <t>VC-055</t>
        </is>
      </c>
      <c r="B56" s="57" t="inlineStr">
        <is>
          <t>Data Flow</t>
        </is>
      </c>
      <c r="C56" s="48" t="inlineStr">
        <is>
          <t>Calls</t>
        </is>
      </c>
      <c r="D56" s="48" t="inlineStr">
        <is>
          <t>Always-relay privacy toggle</t>
        </is>
      </c>
      <c r="E56" s="48" t="inlineStr">
        <is>
          <t>Force TURN relay to hide user IP from peer.</t>
        </is>
      </c>
      <c r="F56" s="48" t="inlineStr">
        <is>
          <t>Call relay option</t>
        </is>
      </c>
      <c r="G56" s="55" t="inlineStr">
        <is>
          <t>P2</t>
        </is>
      </c>
      <c r="H56" s="50" t="inlineStr">
        <is>
          <t>S</t>
        </is>
      </c>
      <c r="I56" s="48" t="inlineStr">
        <is>
          <t>Later</t>
        </is>
      </c>
      <c r="J56" s="48" t="n"/>
      <c r="K56" s="56" t="inlineStr">
        <is>
          <t>Not Started</t>
        </is>
      </c>
      <c r="L56" s="52" t="inlineStr">
        <is>
          <t>app/videocall.tsx:288-292 no iceTransportPolicy</t>
        </is>
      </c>
      <c r="M56" s="52" t="inlineStr">
        <is>
          <t>No always-relay/force-TURN toggle to hide IP</t>
        </is>
      </c>
      <c r="N56" s="27" t="inlineStr">
        <is>
          <t>2026-07-09 vs source</t>
        </is>
      </c>
    </row>
    <row r="57" ht="35.05" customHeight="1" s="28">
      <c r="A57" s="46" t="inlineStr">
        <is>
          <t>VC-056</t>
        </is>
      </c>
      <c r="B57" s="58" t="inlineStr">
        <is>
          <t>Storage</t>
        </is>
      </c>
      <c r="C57" s="48" t="inlineStr">
        <is>
          <t>Local DB</t>
        </is>
      </c>
      <c r="D57" s="48" t="inlineStr">
        <is>
          <t>Full op-sqlite message schema</t>
        </is>
      </c>
      <c r="E57" s="48" t="inlineStr">
        <is>
          <t>Tables: chat, message, message_media, quoted, mentions, reactions, receipts, call_log, group_participant, drafts. Mirror WhatsApp satellite-table design.</t>
        </is>
      </c>
      <c r="F57" s="48" t="inlineStr">
        <is>
          <t>msgstore.db schema</t>
        </is>
      </c>
      <c r="G57" s="49" t="inlineStr">
        <is>
          <t>P0</t>
        </is>
      </c>
      <c r="H57" s="50" t="inlineStr">
        <is>
          <t>M</t>
        </is>
      </c>
      <c r="I57" s="48" t="inlineStr">
        <is>
          <t>Track A</t>
        </is>
      </c>
      <c r="J57" s="48" t="n"/>
      <c r="K57" s="56" t="inlineStr">
        <is>
          <t>Not Started</t>
        </is>
      </c>
      <c r="L57" s="52" t="inlineStr">
        <is>
          <t>lib/localDb.ts:61-86 only messages/chats/sync_cursor</t>
        </is>
      </c>
      <c r="M57" s="52" t="inlineStr">
        <is>
          <t>Missing message_media, quoted, mentions, reactions, receipts, call_log, group_participant, drafts</t>
        </is>
      </c>
      <c r="N57" s="27" t="inlineStr">
        <is>
          <t>2026-07-09 vs source</t>
        </is>
      </c>
    </row>
    <row r="58" ht="23.85" customHeight="1" s="28">
      <c r="A58" s="46" t="inlineStr">
        <is>
          <t>VC-057</t>
        </is>
      </c>
      <c r="B58" s="58" t="inlineStr">
        <is>
          <t>Storage</t>
        </is>
      </c>
      <c r="C58" s="48" t="inlineStr">
        <is>
          <t>Local DB</t>
        </is>
      </c>
      <c r="D58" s="48" t="inlineStr">
        <is>
          <t>At-rest DB encryption (SQLCipher)</t>
        </is>
      </c>
      <c r="E58" s="48" t="inlineStr">
        <is>
          <t>SQLCipher-enabled op-sqlite; wrapping key in Android Keystore / iOS Keychain.</t>
        </is>
      </c>
      <c r="F58" s="48" t="inlineStr">
        <is>
          <t>Encrypted msgstore + Keystore</t>
        </is>
      </c>
      <c r="G58" s="53" t="inlineStr">
        <is>
          <t>P1</t>
        </is>
      </c>
      <c r="H58" s="50" t="inlineStr">
        <is>
          <t>M</t>
        </is>
      </c>
      <c r="I58" s="48" t="inlineStr">
        <is>
          <t>Track F</t>
        </is>
      </c>
      <c r="J58" s="48" t="n"/>
      <c r="K58" s="54" t="inlineStr">
        <is>
          <t>Partial</t>
        </is>
      </c>
      <c r="L58" s="52" t="inlineStr">
        <is>
          <t>field-level AES-GCM lib/cacheCrypto.ts:50-90; DEK sealed under PIN</t>
        </is>
      </c>
      <c r="M58" s="52" t="inlineStr">
        <is>
          <t>Not SQLCipher (no whole-DB page encryption); only content/meta/data columns; gated off by VAULT_CACHE_ENCRYPTED</t>
        </is>
      </c>
      <c r="N58" s="27" t="inlineStr">
        <is>
          <t>2026-07-09 vs source</t>
        </is>
      </c>
    </row>
    <row r="59" ht="23.85" customHeight="1" s="28">
      <c r="A59" s="46" t="inlineStr">
        <is>
          <t>VC-058</t>
        </is>
      </c>
      <c r="B59" s="58" t="inlineStr">
        <is>
          <t>Storage</t>
        </is>
      </c>
      <c r="C59" s="48" t="inlineStr">
        <is>
          <t>Local DB</t>
        </is>
      </c>
      <c r="D59" s="48" t="inlineStr">
        <is>
          <t>FTS5 full-text index on messages</t>
        </is>
      </c>
      <c r="E59" s="48" t="inlineStr">
        <is>
          <t>Sync FTS table on insert/edit/delete; powers global + in-chat search offline.</t>
        </is>
      </c>
      <c r="F59" s="48" t="inlineStr">
        <is>
          <t>message_ftsv2</t>
        </is>
      </c>
      <c r="G59" s="53" t="inlineStr">
        <is>
          <t>P1</t>
        </is>
      </c>
      <c r="H59" s="50" t="inlineStr">
        <is>
          <t>M</t>
        </is>
      </c>
      <c r="I59" s="48" t="inlineStr">
        <is>
          <t>Track A</t>
        </is>
      </c>
      <c r="J59" s="48" t="n"/>
      <c r="K59" s="56" t="inlineStr">
        <is>
          <t>Not Started</t>
        </is>
      </c>
      <c r="L59" s="52" t="inlineStr">
        <is>
          <t>lib/localDb.ts:188-210 JS substring scan capped at 5000 rows</t>
        </is>
      </c>
      <c r="M59" s="52" t="inlineStr">
        <is>
          <t>No FTS5 virtual table, no insert/edit/delete sync triggers</t>
        </is>
      </c>
      <c r="N59" s="27" t="inlineStr">
        <is>
          <t>2026-07-09 vs source</t>
        </is>
      </c>
    </row>
    <row r="60" ht="15" customHeight="1" s="28">
      <c r="A60" s="46" t="inlineStr">
        <is>
          <t>VC-059</t>
        </is>
      </c>
      <c r="B60" s="58" t="inlineStr">
        <is>
          <t>Storage</t>
        </is>
      </c>
      <c r="C60" s="48" t="inlineStr">
        <is>
          <t>Local DB</t>
        </is>
      </c>
      <c r="D60" s="48" t="inlineStr">
        <is>
          <t>Per-chat draft persistence</t>
        </is>
      </c>
      <c r="E60" s="48" t="inlineStr">
        <is>
          <t>Save composer text on exit; red Draft prefix in chat list preview.</t>
        </is>
      </c>
      <c r="F60" s="48" t="inlineStr">
        <is>
          <t>Draft store</t>
        </is>
      </c>
      <c r="G60" s="55" t="inlineStr">
        <is>
          <t>P2</t>
        </is>
      </c>
      <c r="H60" s="50" t="inlineStr">
        <is>
          <t>S</t>
        </is>
      </c>
      <c r="I60" s="48" t="inlineStr">
        <is>
          <t>Later</t>
        </is>
      </c>
      <c r="J60" s="48" t="n"/>
      <c r="K60" s="51" t="inlineStr">
        <is>
          <t>Done</t>
        </is>
      </c>
      <c r="L60" s="52" t="inlineStr">
        <is>
          <t>lib/drafts.ts:18-48; 'Draft:' prefix app/(tabs)/chats.tsx:583</t>
        </is>
      </c>
      <c r="M60" s="52" t="inlineStr">
        <is>
          <t>Stored in AsyncStorage rather than a sqlite drafts table</t>
        </is>
      </c>
      <c r="N60" s="27" t="inlineStr">
        <is>
          <t>2026-07-09 vs source</t>
        </is>
      </c>
    </row>
    <row r="61" ht="23.85" customHeight="1" s="28">
      <c r="A61" s="46" t="inlineStr">
        <is>
          <t>VC-060</t>
        </is>
      </c>
      <c r="B61" s="58" t="inlineStr">
        <is>
          <t>Storage</t>
        </is>
      </c>
      <c r="C61" s="48" t="inlineStr">
        <is>
          <t>Local DB</t>
        </is>
      </c>
      <c r="D61" s="48" t="inlineStr">
        <is>
          <t>Signal protocol store on op-sqlite</t>
        </is>
      </c>
      <c r="E61" s="48" t="inlineStr">
        <is>
          <t>Sessions, identity keys, prekeys, sender keys, trusted identities via libsignal-rn store interface.</t>
        </is>
      </c>
      <c r="F61" s="48" t="inlineStr">
        <is>
          <t>axolotl.db</t>
        </is>
      </c>
      <c r="G61" s="49" t="inlineStr">
        <is>
          <t>P0</t>
        </is>
      </c>
      <c r="H61" s="50" t="inlineStr">
        <is>
          <t>M</t>
        </is>
      </c>
      <c r="I61" s="48" t="inlineStr">
        <is>
          <t>Track A</t>
        </is>
      </c>
      <c r="J61" s="48" t="n"/>
      <c r="K61" s="54" t="inlineStr">
        <is>
          <t>Partial</t>
        </is>
      </c>
      <c r="L61" s="52" t="inlineStr">
        <is>
          <t>services/crypto/e2eeSession.ts:65-99 identity+sessions; senderKey.ts</t>
        </is>
      </c>
      <c r="M61" s="52" t="inlineStr">
        <is>
          <t>Store is a KVStore over SecureStore, NOT op-sqlite; no trusted-identities store</t>
        </is>
      </c>
      <c r="N61" s="27" t="inlineStr">
        <is>
          <t>2026-07-09 vs source</t>
        </is>
      </c>
    </row>
    <row r="62" ht="23.85" customHeight="1" s="28">
      <c r="A62" s="46" t="inlineStr">
        <is>
          <t>VC-061</t>
        </is>
      </c>
      <c r="B62" s="58" t="inlineStr">
        <is>
          <t>Storage</t>
        </is>
      </c>
      <c r="C62" s="48" t="inlineStr">
        <is>
          <t>Media files</t>
        </is>
      </c>
      <c r="D62" s="48" t="inlineStr">
        <is>
          <t>Media directory structure + gallery visibility</t>
        </is>
      </c>
      <c r="E62" s="48" t="inlineStr">
        <is>
          <t>Images/Video/Voice/Docs/Stickers dirs, Sent subfolders, media-visibility toggle (.nomedia).</t>
        </is>
      </c>
      <c r="F62" s="48" t="inlineStr">
        <is>
          <t>Scoped storage layout</t>
        </is>
      </c>
      <c r="G62" s="55" t="inlineStr">
        <is>
          <t>P2</t>
        </is>
      </c>
      <c r="H62" s="50" t="inlineStr">
        <is>
          <t>S</t>
        </is>
      </c>
      <c r="I62" s="48" t="inlineStr">
        <is>
          <t>Later</t>
        </is>
      </c>
      <c r="J62" s="48" t="n"/>
      <c r="K62" s="54" t="inlineStr">
        <is>
          <t>Partial</t>
        </is>
      </c>
      <c r="L62" s="52" t="inlineStr">
        <is>
          <t>lib/mediaStore.ts:34-45 dirs + Sent subfolders; pathFor :114-119</t>
        </is>
      </c>
      <c r="M62" s="52" t="inlineStr">
        <is>
          <t>No .nomedia toggle - code forces gallery visibility via RNFS.scanFile (:178)</t>
        </is>
      </c>
      <c r="N62" s="27" t="inlineStr">
        <is>
          <t>2026-07-09 vs source</t>
        </is>
      </c>
    </row>
    <row r="63" ht="15" customHeight="1" s="28">
      <c r="A63" s="46" t="inlineStr">
        <is>
          <t>VC-062</t>
        </is>
      </c>
      <c r="B63" s="58" t="inlineStr">
        <is>
          <t>Storage</t>
        </is>
      </c>
      <c r="C63" s="48" t="inlineStr">
        <is>
          <t>Media files</t>
        </is>
      </c>
      <c r="D63" s="48" t="inlineStr">
        <is>
          <t>Thumbnail + partial-download cache</t>
        </is>
      </c>
      <c r="E63" s="48" t="inlineStr">
        <is>
          <t>Cache dir for thumbs and in-progress transfers; eviction policy.</t>
        </is>
      </c>
      <c r="F63" s="48" t="inlineStr">
        <is>
          <t>Cache directory</t>
        </is>
      </c>
      <c r="G63" s="53" t="inlineStr">
        <is>
          <t>P1</t>
        </is>
      </c>
      <c r="H63" s="50" t="inlineStr">
        <is>
          <t>S</t>
        </is>
      </c>
      <c r="I63" s="48" t="inlineStr">
        <is>
          <t>Track E</t>
        </is>
      </c>
      <c r="J63" s="48" t="n"/>
      <c r="K63" s="54" t="inlineStr">
        <is>
          <t>Partial</t>
        </is>
      </c>
      <c r="L63" s="52" t="inlineStr">
        <is>
          <t>thumbnails.ts:23-42; .Thumbs cache mediaStore.ts:81-95</t>
        </is>
      </c>
      <c r="M63" s="52" t="inlineStr">
        <is>
          <t>No eviction policy; no partial-download cache (getMedia downloads whole file)</t>
        </is>
      </c>
      <c r="N63" s="27" t="inlineStr">
        <is>
          <t>2026-07-09 vs source</t>
        </is>
      </c>
    </row>
    <row r="64" ht="23.85" customHeight="1" s="28">
      <c r="A64" s="46" t="inlineStr">
        <is>
          <t>VC-063</t>
        </is>
      </c>
      <c r="B64" s="58" t="inlineStr">
        <is>
          <t>Storage</t>
        </is>
      </c>
      <c r="C64" s="48" t="inlineStr">
        <is>
          <t>Media files</t>
        </is>
      </c>
      <c r="D64" s="48" t="inlineStr">
        <is>
          <t>Storage manager screen</t>
        </is>
      </c>
      <c r="E64" s="48" t="inlineStr">
        <is>
          <t>Aggregate size per chat/file type from media table; bulk delete flows.</t>
        </is>
      </c>
      <c r="F64" s="48" t="inlineStr">
        <is>
          <t>Manage storage</t>
        </is>
      </c>
      <c r="G64" s="59" t="inlineStr">
        <is>
          <t>P3</t>
        </is>
      </c>
      <c r="H64" s="50" t="inlineStr">
        <is>
          <t>M</t>
        </is>
      </c>
      <c r="I64" s="48" t="inlineStr">
        <is>
          <t>Later</t>
        </is>
      </c>
      <c r="J64" s="48" t="n"/>
      <c r="K64" s="51" t="inlineStr">
        <is>
          <t>Done</t>
        </is>
      </c>
      <c r="L64" s="52" t="inlineStr">
        <is>
          <t>app/storage-manager.tsx:49-70 size by type; per-chat via localDb.ts:216-228; bulk delete :63-66</t>
        </is>
      </c>
      <c r="M64" s="52" t="inlineStr"/>
      <c r="N64" s="27" t="inlineStr">
        <is>
          <t>2026-07-09 vs source</t>
        </is>
      </c>
    </row>
    <row r="65" ht="23.85" customHeight="1" s="28">
      <c r="A65" s="46" t="inlineStr">
        <is>
          <t>VC-064</t>
        </is>
      </c>
      <c r="B65" s="58" t="inlineStr">
        <is>
          <t>Storage</t>
        </is>
      </c>
      <c r="C65" s="48" t="inlineStr">
        <is>
          <t>Server</t>
        </is>
      </c>
      <c r="D65" s="48" t="inlineStr">
        <is>
          <t>Delivered-ciphertext deletion job</t>
        </is>
      </c>
      <c r="E65" s="48" t="inlineStr">
        <is>
          <t>BullMQ job hard-deletes queued ciphertext on device ack; TTL sweep for expired.</t>
        </is>
      </c>
      <c r="F65" s="48" t="inlineStr">
        <is>
          <t>Delete-on-delivery</t>
        </is>
      </c>
      <c r="G65" s="49" t="inlineStr">
        <is>
          <t>P0</t>
        </is>
      </c>
      <c r="H65" s="50" t="inlineStr">
        <is>
          <t>S</t>
        </is>
      </c>
      <c r="I65" s="48" t="inlineStr">
        <is>
          <t>Track A</t>
        </is>
      </c>
      <c r="J65" s="48" t="inlineStr">
        <is>
          <t>Retention decision</t>
        </is>
      </c>
      <c r="K65" s="51" t="inlineStr">
        <is>
          <t>Done</t>
        </is>
      </c>
      <c r="L65" s="52" t="inlineStr">
        <is>
          <t>server.js:184-227 sweepDeliveredMessages; :151-166 TTL sweepExpiredMessages</t>
        </is>
      </c>
      <c r="M65" s="52" t="inlineStr">
        <is>
          <t>Env-gated (DELETE_ON_DELIVERY) off by default</t>
        </is>
      </c>
      <c r="N65" s="27" t="inlineStr">
        <is>
          <t>2026-07-09 vs source</t>
        </is>
      </c>
    </row>
    <row r="66" ht="23.85" customHeight="1" s="28">
      <c r="A66" s="46" t="inlineStr">
        <is>
          <t>VC-065</t>
        </is>
      </c>
      <c r="B66" s="58" t="inlineStr">
        <is>
          <t>Storage</t>
        </is>
      </c>
      <c r="C66" s="48" t="inlineStr">
        <is>
          <t>Server</t>
        </is>
      </c>
      <c r="D66" s="48" t="inlineStr">
        <is>
          <t>Media blob lifecycle on R2</t>
        </is>
      </c>
      <c r="E66" s="48" t="inlineStr">
        <is>
          <t>Retention window for ciphertext blobs (forwards/late downloads); GC job; dedupe by ciphertext hash.</t>
        </is>
      </c>
      <c r="F66" s="48" t="inlineStr">
        <is>
          <t>CDN blob retention + GC</t>
        </is>
      </c>
      <c r="G66" s="53" t="inlineStr">
        <is>
          <t>P1</t>
        </is>
      </c>
      <c r="H66" s="50" t="inlineStr">
        <is>
          <t>M</t>
        </is>
      </c>
      <c r="I66" s="48" t="inlineStr">
        <is>
          <t>Track E</t>
        </is>
      </c>
      <c r="J66" s="48" t="n"/>
      <c r="K66" s="54" t="inlineStr">
        <is>
          <t>Partial</t>
        </is>
      </c>
      <c r="L66" s="52" t="inlineStr">
        <is>
          <t>server.js:240-278 sweepDeliveredAttachments + MEDIA_TTL_DAYS; migrations/044</t>
        </is>
      </c>
      <c r="M66" s="52" t="inlineStr">
        <is>
          <t>No dedupe by ciphertext hash</t>
        </is>
      </c>
      <c r="N66" s="27" t="inlineStr">
        <is>
          <t>2026-07-09 vs source</t>
        </is>
      </c>
    </row>
    <row r="67" ht="23.85" customHeight="1" s="28">
      <c r="A67" s="46" t="inlineStr">
        <is>
          <t>VC-066</t>
        </is>
      </c>
      <c r="B67" s="58" t="inlineStr">
        <is>
          <t>Storage</t>
        </is>
      </c>
      <c r="C67" s="48" t="inlineStr">
        <is>
          <t>Backup</t>
        </is>
      </c>
      <c r="D67" s="48" t="inlineStr">
        <is>
          <t>Local encrypted backup file</t>
        </is>
      </c>
      <c r="E67" s="48" t="inlineStr">
        <is>
          <t>Rolling local snapshots of message DB (crypt-file equivalent), last ~7 days.</t>
        </is>
      </c>
      <c r="F67" s="48" t="inlineStr">
        <is>
          <t>msgstore.db.crypt15</t>
        </is>
      </c>
      <c r="G67" s="53" t="inlineStr">
        <is>
          <t>P1</t>
        </is>
      </c>
      <c r="H67" s="50" t="inlineStr">
        <is>
          <t>M</t>
        </is>
      </c>
      <c r="I67" s="48" t="inlineStr">
        <is>
          <t>Later</t>
        </is>
      </c>
      <c r="J67" s="48" t="n"/>
      <c r="K67" s="51" t="inlineStr">
        <is>
          <t>Done</t>
        </is>
      </c>
      <c r="L67" s="52" t="inlineStr">
        <is>
          <t>lib/cloudBackup.ts:188-213 writeLocalBackup, KEEP_LOCAL=7, pruneLocalBackups</t>
        </is>
      </c>
      <c r="M67" s="52" t="inlineStr"/>
      <c r="N67" s="27" t="inlineStr">
        <is>
          <t>2026-07-09 vs source</t>
        </is>
      </c>
    </row>
    <row r="68" ht="35.05" customHeight="1" s="28">
      <c r="A68" s="46" t="inlineStr">
        <is>
          <t>VC-067</t>
        </is>
      </c>
      <c r="B68" s="58" t="inlineStr">
        <is>
          <t>Storage</t>
        </is>
      </c>
      <c r="C68" s="48" t="inlineStr">
        <is>
          <t>Backup</t>
        </is>
      </c>
      <c r="D68" s="48" t="inlineStr">
        <is>
          <t>Cloud backup + E2E passphrase wrap</t>
        </is>
      </c>
      <c r="E68" s="48" t="inlineStr">
        <is>
          <t>User passphrase or 64-digit key wraps backup key; without it backup unreadable by anyone. Mandatory if queue-only retention chosen.</t>
        </is>
      </c>
      <c r="F68" s="48" t="inlineStr">
        <is>
          <t>E2E encrypted backup, HSM vault</t>
        </is>
      </c>
      <c r="G68" s="53" t="inlineStr">
        <is>
          <t>P1</t>
        </is>
      </c>
      <c r="H68" s="50" t="inlineStr">
        <is>
          <t>L</t>
        </is>
      </c>
      <c r="I68" s="48" t="inlineStr">
        <is>
          <t>Later</t>
        </is>
      </c>
      <c r="J68" s="48" t="inlineStr">
        <is>
          <t>Retention decision</t>
        </is>
      </c>
      <c r="K68" s="54" t="inlineStr">
        <is>
          <t>Partial</t>
        </is>
      </c>
      <c r="L68" s="52" t="inlineStr">
        <is>
          <t>lib/cloudBackup.ts:115-147; buildEncryptedBackup :51-85 AES-256-GCM</t>
        </is>
      </c>
      <c r="M68" s="52" t="inlineStr">
        <is>
          <t>Backup key is ACCOUNT-MANAGED (fetched from /user/backup/key) - no user passphrase / 64-digit key wrap</t>
        </is>
      </c>
      <c r="N68" s="27" t="inlineStr">
        <is>
          <t>2026-07-09 vs source</t>
        </is>
      </c>
    </row>
    <row r="69" ht="23.85" customHeight="1" s="28">
      <c r="A69" s="46" t="inlineStr">
        <is>
          <t>VC-068</t>
        </is>
      </c>
      <c r="B69" s="58" t="inlineStr">
        <is>
          <t>Storage</t>
        </is>
      </c>
      <c r="C69" s="48" t="inlineStr">
        <is>
          <t>Backup</t>
        </is>
      </c>
      <c r="D69" s="48" t="inlineStr">
        <is>
          <t>QR device-to-device chat transfer</t>
        </is>
      </c>
      <c r="E69" s="48" t="inlineStr">
        <is>
          <t>Local Wi-Fi encrypted transfer of DB+media between old and new phone.</t>
        </is>
      </c>
      <c r="F69" s="48" t="inlineStr">
        <is>
          <t>Chat history transfer</t>
        </is>
      </c>
      <c r="G69" s="55" t="inlineStr">
        <is>
          <t>P2</t>
        </is>
      </c>
      <c r="H69" s="50" t="inlineStr">
        <is>
          <t>L</t>
        </is>
      </c>
      <c r="I69" s="48" t="inlineStr">
        <is>
          <t>Later</t>
        </is>
      </c>
      <c r="J69" s="48" t="n"/>
      <c r="K69" s="56" t="inlineStr">
        <is>
          <t>Not Started</t>
        </is>
      </c>
      <c r="L69" s="52" t="inlineStr">
        <is>
          <t>app/vaultbeam.tsx P2P file transfer over WebRTC</t>
        </is>
      </c>
      <c r="M69" s="52" t="inlineStr">
        <is>
          <t>Not QR, not local Wi-Fi discovery, transfers files not chat history</t>
        </is>
      </c>
      <c r="N69" s="27" t="inlineStr">
        <is>
          <t>2026-07-09 vs source</t>
        </is>
      </c>
    </row>
    <row r="70" ht="23.85" customHeight="1" s="28">
      <c r="A70" s="46" t="inlineStr">
        <is>
          <t>VC-069</t>
        </is>
      </c>
      <c r="B70" s="58" t="inlineStr">
        <is>
          <t>Storage</t>
        </is>
      </c>
      <c r="C70" s="48" t="inlineStr">
        <is>
          <t>Multi-device</t>
        </is>
      </c>
      <c r="D70" s="48" t="inlineStr">
        <is>
          <t>Per-device identity schema (design now)</t>
        </is>
      </c>
      <c r="E70" s="48" t="inlineStr">
        <is>
          <t>Account -&gt; devices(list) -&gt; per-device sessions &amp; queues &amp; receipts. Schema in place even if single-device at launch.</t>
        </is>
      </c>
      <c r="F70" s="48" t="inlineStr">
        <is>
          <t>Device IDs + client fanout</t>
        </is>
      </c>
      <c r="G70" s="49" t="inlineStr">
        <is>
          <t>P0</t>
        </is>
      </c>
      <c r="H70" s="50" t="inlineStr">
        <is>
          <t>S</t>
        </is>
      </c>
      <c r="I70" s="48" t="inlineStr">
        <is>
          <t>Track A</t>
        </is>
      </c>
      <c r="J70" s="48" t="n"/>
      <c r="K70" s="56" t="inlineStr">
        <is>
          <t>Not Started</t>
        </is>
      </c>
      <c r="L70" s="52" t="inlineStr">
        <is>
          <t>migrations/005_devices.sql:13-23 devices = push tokens only</t>
        </is>
      </c>
      <c r="M70" s="52" t="inlineStr">
        <is>
          <t>No account-&gt;device-&gt;session/queue/receipt graph; sessions+receipts are per-user</t>
        </is>
      </c>
      <c r="N70" s="27" t="inlineStr">
        <is>
          <t>2026-07-09 vs source</t>
        </is>
      </c>
    </row>
    <row r="71" ht="23.85" customHeight="1" s="28">
      <c r="A71" s="46" t="inlineStr">
        <is>
          <t>VC-070</t>
        </is>
      </c>
      <c r="B71" s="58" t="inlineStr">
        <is>
          <t>Storage</t>
        </is>
      </c>
      <c r="C71" s="48" t="inlineStr">
        <is>
          <t>Multi-device</t>
        </is>
      </c>
      <c r="D71" s="48" t="inlineStr">
        <is>
          <t>App-state sync mutation log (future)</t>
        </is>
      </c>
      <c r="E71" s="48" t="inlineStr">
        <is>
          <t>E2EE append-only log for mute/pin/archive/star across own devices.</t>
        </is>
      </c>
      <c r="F71" s="48" t="inlineStr">
        <is>
          <t>LT-hash app state sync</t>
        </is>
      </c>
      <c r="G71" s="59" t="inlineStr">
        <is>
          <t>P3</t>
        </is>
      </c>
      <c r="H71" s="50" t="inlineStr">
        <is>
          <t>L</t>
        </is>
      </c>
      <c r="I71" s="48" t="inlineStr">
        <is>
          <t>Later</t>
        </is>
      </c>
      <c r="J71" s="48" t="n"/>
      <c r="K71" s="56" t="inlineStr">
        <is>
          <t>Not Started</t>
        </is>
      </c>
      <c r="L71" s="52" t="inlineStr">
        <is>
          <t>pin/archive are plain server columns migrations/012_pin_archive.sql</t>
        </is>
      </c>
      <c r="M71" s="52" t="inlineStr">
        <is>
          <t>No E2EE append-only app-state mutation log</t>
        </is>
      </c>
      <c r="N71" s="27" t="inlineStr">
        <is>
          <t>2026-07-09 vs source</t>
        </is>
      </c>
    </row>
    <row r="72" ht="35.05" customHeight="1" s="28">
      <c r="A72" s="46" t="inlineStr">
        <is>
          <t>VC-071</t>
        </is>
      </c>
      <c r="B72" s="60" t="inlineStr">
        <is>
          <t>Data Fetching</t>
        </is>
      </c>
      <c r="C72" s="48" t="inlineStr">
        <is>
          <t>Cold open</t>
        </is>
      </c>
      <c r="D72" s="48" t="inlineStr">
        <is>
          <t>Cold-open sequence orchestration</t>
        </is>
      </c>
      <c r="E72" s="48" t="inlineStr">
        <is>
          <t>Order: render local -&gt; socket connect -&gt; presence available -&gt; drain queue -&gt; decrypt+persist -&gt; notify -&gt; media per rules -&gt; receipts out.</t>
        </is>
      </c>
      <c r="F72" s="48" t="inlineStr">
        <is>
          <t>Documented cold-open sequence</t>
        </is>
      </c>
      <c r="G72" s="49" t="inlineStr">
        <is>
          <t>P0</t>
        </is>
      </c>
      <c r="H72" s="50" t="inlineStr">
        <is>
          <t>M</t>
        </is>
      </c>
      <c r="I72" s="48" t="inlineStr">
        <is>
          <t>Track A</t>
        </is>
      </c>
      <c r="J72" s="48" t="n"/>
      <c r="K72" s="54" t="inlineStr">
        <is>
          <t>Partial</t>
        </is>
      </c>
      <c r="L72" s="52" t="inlineStr">
        <is>
          <t>pieces exist: chat.tsx local render; socket.ts; messageQueue.ts:212-228 initQueue</t>
        </is>
      </c>
      <c r="M72" s="52" t="inlineStr">
        <is>
          <t>No single orchestrated cold-open pipeline enforcing the ordered sequence</t>
        </is>
      </c>
      <c r="N72" s="27" t="inlineStr">
        <is>
          <t>2026-07-09 vs source</t>
        </is>
      </c>
    </row>
    <row r="73" ht="23.85" customHeight="1" s="28">
      <c r="A73" s="46" t="inlineStr">
        <is>
          <t>VC-072</t>
        </is>
      </c>
      <c r="B73" s="60" t="inlineStr">
        <is>
          <t>Data Fetching</t>
        </is>
      </c>
      <c r="C73" s="48" t="inlineStr">
        <is>
          <t>Queue drain</t>
        </is>
      </c>
      <c r="D73" s="48" t="inlineStr">
        <is>
          <t>Ordered queue drain + out-of-order decrypt handling</t>
        </is>
      </c>
      <c r="E73" s="48" t="inlineStr">
        <is>
          <t>Process stanzas in order; Double Ratchet skipped-message-key cache for out-of-order.</t>
        </is>
      </c>
      <c r="F73" s="48" t="inlineStr">
        <is>
          <t>Skipped key cache</t>
        </is>
      </c>
      <c r="G73" s="49" t="inlineStr">
        <is>
          <t>P0</t>
        </is>
      </c>
      <c r="H73" s="50" t="inlineStr">
        <is>
          <t>M</t>
        </is>
      </c>
      <c r="I73" s="48" t="inlineStr">
        <is>
          <t>Track A</t>
        </is>
      </c>
      <c r="J73" s="48" t="n"/>
      <c r="K73" s="51" t="inlineStr">
        <is>
          <t>Done</t>
        </is>
      </c>
      <c r="L73" s="52" t="inlineStr">
        <is>
          <t>services/crypto/e2ee.ts:184-288 MKSKIPPED skipped-key cache, MAX_SKIP=1000; ordered drain messageQueue.ts:171-207</t>
        </is>
      </c>
      <c r="M73" s="52" t="inlineStr"/>
      <c r="N73" s="27" t="inlineStr">
        <is>
          <t>2026-07-09 vs source</t>
        </is>
      </c>
    </row>
    <row r="74" ht="23.85" customHeight="1" s="28">
      <c r="A74" s="46" t="inlineStr">
        <is>
          <t>VC-073</t>
        </is>
      </c>
      <c r="B74" s="60" t="inlineStr">
        <is>
          <t>Data Fetching</t>
        </is>
      </c>
      <c r="C74" s="48" t="inlineStr">
        <is>
          <t>Media</t>
        </is>
      </c>
      <c r="D74" s="48" t="inlineStr">
        <is>
          <t>Auto-download matrix (network x type)</t>
        </is>
      </c>
      <c r="E74" s="48" t="inlineStr">
        <is>
          <t>Settings grid: mobile/WiFi/roaming x photo/audio/video/docs; download button overlay when off.</t>
        </is>
      </c>
      <c r="F74" s="48" t="inlineStr">
        <is>
          <t>Auto-download settings</t>
        </is>
      </c>
      <c r="G74" s="53" t="inlineStr">
        <is>
          <t>P1</t>
        </is>
      </c>
      <c r="H74" s="50" t="inlineStr">
        <is>
          <t>M</t>
        </is>
      </c>
      <c r="I74" s="48" t="inlineStr">
        <is>
          <t>Track E</t>
        </is>
      </c>
      <c r="J74" s="48" t="n"/>
      <c r="K74" s="54" t="inlineStr">
        <is>
          <t>Partial</t>
        </is>
      </c>
      <c r="L74" s="52" t="inlineStr">
        <is>
          <t>lib/mediaPrefs.ts:10-36 global always/wifi/never + shouldAutoDownloadNow</t>
        </is>
      </c>
      <c r="M74" s="52" t="inlineStr">
        <is>
          <t>Not a matrix - no per-type (photo/audio/video/doc) and no roaming dimension</t>
        </is>
      </c>
      <c r="N74" s="27" t="inlineStr">
        <is>
          <t>2026-07-09 vs source</t>
        </is>
      </c>
    </row>
    <row r="75" ht="23.85" customHeight="1" s="28">
      <c r="A75" s="46" t="inlineStr">
        <is>
          <t>VC-074</t>
        </is>
      </c>
      <c r="B75" s="60" t="inlineStr">
        <is>
          <t>Data Fetching</t>
        </is>
      </c>
      <c r="C75" s="48" t="inlineStr">
        <is>
          <t>Media</t>
        </is>
      </c>
      <c r="D75" s="48" t="inlineStr">
        <is>
          <t>Resumable chunked upload/download</t>
        </is>
      </c>
      <c r="E75" s="48" t="inlineStr">
        <is>
          <t>Range requests to R2; resume after network drop; verify hash on completion.</t>
        </is>
      </c>
      <c r="F75" s="48" t="inlineStr">
        <is>
          <t>Resumable chunked transfer</t>
        </is>
      </c>
      <c r="G75" s="53" t="inlineStr">
        <is>
          <t>P1</t>
        </is>
      </c>
      <c r="H75" s="50" t="inlineStr">
        <is>
          <t>M</t>
        </is>
      </c>
      <c r="I75" s="48" t="inlineStr">
        <is>
          <t>Track E</t>
        </is>
      </c>
      <c r="J75" s="48" t="n"/>
      <c r="K75" s="54" t="inlineStr">
        <is>
          <t>Partial</t>
        </is>
      </c>
      <c r="L75" s="52" t="inlineStr">
        <is>
          <t>lib/transferManager.ts:87-97 resume, :142-155 sha256 verify (P2P only)</t>
        </is>
      </c>
      <c r="M75" s="52" t="inlineStr">
        <is>
          <t>No HTTP range requests; media getMedia is a plain full download with no resume</t>
        </is>
      </c>
      <c r="N75" s="27" t="inlineStr">
        <is>
          <t>2026-07-09 vs source</t>
        </is>
      </c>
    </row>
    <row r="76" ht="23.85" customHeight="1" s="28">
      <c r="A76" s="46" t="inlineStr">
        <is>
          <t>VC-075</t>
        </is>
      </c>
      <c r="B76" s="60" t="inlineStr">
        <is>
          <t>Data Fetching</t>
        </is>
      </c>
      <c r="C76" s="48" t="inlineStr">
        <is>
          <t>Profiles</t>
        </is>
      </c>
      <c r="D76" s="48" t="inlineStr">
        <is>
          <t>Profile photo versioning + cache invalidation</t>
        </is>
      </c>
      <c r="E76" s="48" t="inlineStr">
        <is>
          <t>Version hash per photo; clients re-fetch only on version bump notification.</t>
        </is>
      </c>
      <c r="F76" s="48" t="inlineStr">
        <is>
          <t>Photo version hashes</t>
        </is>
      </c>
      <c r="G76" s="55" t="inlineStr">
        <is>
          <t>P2</t>
        </is>
      </c>
      <c r="H76" s="50" t="inlineStr">
        <is>
          <t>S</t>
        </is>
      </c>
      <c r="I76" s="48" t="inlineStr">
        <is>
          <t>Later</t>
        </is>
      </c>
      <c r="J76" s="48" t="n"/>
      <c r="K76" s="56" t="inlineStr">
        <is>
          <t>Not Started</t>
        </is>
      </c>
      <c r="L76" s="52" t="inlineStr">
        <is>
          <t>routes/user.js:461 photo_url is a plain string</t>
        </is>
      </c>
      <c r="M76" s="52" t="inlineStr">
        <is>
          <t>No version hash, no cache-busting, no refetch-on-bump</t>
        </is>
      </c>
      <c r="N76" s="27" t="inlineStr">
        <is>
          <t>2026-07-09 vs source</t>
        </is>
      </c>
    </row>
    <row r="77" ht="23.85" customHeight="1" s="28">
      <c r="A77" s="46" t="inlineStr">
        <is>
          <t>VC-076</t>
        </is>
      </c>
      <c r="B77" s="60" t="inlineStr">
        <is>
          <t>Data Fetching</t>
        </is>
      </c>
      <c r="C77" s="48" t="inlineStr">
        <is>
          <t>Search</t>
        </is>
      </c>
      <c r="D77" s="48" t="inlineStr">
        <is>
          <t>Global + in-chat local search UX</t>
        </is>
      </c>
      <c r="E77" s="48" t="inlineStr">
        <is>
          <t>FTS-backed, filter chips (media/links/docs), in-chat hit navigation + jump-to-date. Zero server involvement.</t>
        </is>
      </c>
      <c r="F77" s="48" t="inlineStr">
        <is>
          <t>Local-only search</t>
        </is>
      </c>
      <c r="G77" s="53" t="inlineStr">
        <is>
          <t>P1</t>
        </is>
      </c>
      <c r="H77" s="50" t="inlineStr">
        <is>
          <t>M</t>
        </is>
      </c>
      <c r="I77" s="48" t="inlineStr">
        <is>
          <t>Track A</t>
        </is>
      </c>
      <c r="J77" s="48" t="inlineStr">
        <is>
          <t>FTS5 index</t>
        </is>
      </c>
      <c r="K77" s="54" t="inlineStr">
        <is>
          <t>Partial</t>
        </is>
      </c>
      <c r="L77" s="52" t="inlineStr">
        <is>
          <t>app/search.tsx global; app/in-chat-search.tsx; jump via setPendingJump</t>
        </is>
      </c>
      <c r="M77" s="52" t="inlineStr">
        <is>
          <t>Not FTS-backed (JS substring); no filter chips; no jump-to-date</t>
        </is>
      </c>
      <c r="N77" s="27" t="inlineStr">
        <is>
          <t>2026-07-09 vs source</t>
        </is>
      </c>
    </row>
    <row r="78" ht="23.85" customHeight="1" s="28">
      <c r="A78" s="46" t="inlineStr">
        <is>
          <t>VC-077</t>
        </is>
      </c>
      <c r="B78" s="60" t="inlineStr">
        <is>
          <t>Data Fetching</t>
        </is>
      </c>
      <c r="C78" s="48" t="inlineStr">
        <is>
          <t>Search</t>
        </is>
      </c>
      <c r="D78" s="48" t="inlineStr">
        <is>
          <t>Semantic search layer (sqlite-vec)</t>
        </is>
      </c>
      <c r="E78" s="48" t="inlineStr">
        <is>
          <t>Multilingual embeddings after FTS ships; on-device only. Differentiator beyond WhatsApp.</t>
        </is>
      </c>
      <c r="F78" s="48" t="inlineStr">
        <is>
          <t>N/A (VaultChat advantage)</t>
        </is>
      </c>
      <c r="G78" s="59" t="inlineStr">
        <is>
          <t>P3</t>
        </is>
      </c>
      <c r="H78" s="50" t="inlineStr">
        <is>
          <t>L</t>
        </is>
      </c>
      <c r="I78" s="48" t="inlineStr">
        <is>
          <t>Later</t>
        </is>
      </c>
      <c r="J78" s="48" t="inlineStr">
        <is>
          <t>Local search</t>
        </is>
      </c>
      <c r="K78" s="56" t="inlineStr">
        <is>
          <t>Not Started</t>
        </is>
      </c>
      <c r="L78" s="52" t="inlineStr">
        <is>
          <t>no sqlite-vec / embeddings anywhere</t>
        </is>
      </c>
      <c r="M78" s="52" t="inlineStr">
        <is>
          <t>On-device semantic search absent</t>
        </is>
      </c>
      <c r="N78" s="27" t="inlineStr">
        <is>
          <t>2026-07-09 vs source</t>
        </is>
      </c>
    </row>
    <row r="79" ht="23.85" customHeight="1" s="28">
      <c r="A79" s="46" t="inlineStr">
        <is>
          <t>VC-078</t>
        </is>
      </c>
      <c r="B79" s="60" t="inlineStr">
        <is>
          <t>Data Fetching</t>
        </is>
      </c>
      <c r="C79" s="48" t="inlineStr">
        <is>
          <t>Stickers/GIF</t>
        </is>
      </c>
      <c r="D79" s="48" t="inlineStr">
        <is>
          <t>GIF/sticker search via server proxy</t>
        </is>
      </c>
      <c r="E79" s="48" t="inlineStr">
        <is>
          <t>Proxy Giphy/Tenor so user IP is not exposed to provider; local recents cache.</t>
        </is>
      </c>
      <c r="F79" s="48" t="inlineStr">
        <is>
          <t>GIF proxy</t>
        </is>
      </c>
      <c r="G79" s="55" t="inlineStr">
        <is>
          <t>P2</t>
        </is>
      </c>
      <c r="H79" s="50" t="inlineStr">
        <is>
          <t>M</t>
        </is>
      </c>
      <c r="I79" s="48" t="inlineStr">
        <is>
          <t>Track E</t>
        </is>
      </c>
      <c r="J79" s="48" t="n"/>
      <c r="K79" s="54" t="inlineStr">
        <is>
          <t>Partial</t>
        </is>
      </c>
      <c r="L79" s="52" t="inlineStr">
        <is>
          <t>vaultchat-backend/routes/gif.js:1-52 GIPHY proxy (hides user IP)</t>
        </is>
      </c>
      <c r="M79" s="52" t="inlineStr">
        <is>
          <t>No local recents cache in stickers.tsx / GifPicker.tsx</t>
        </is>
      </c>
      <c r="N79" s="27" t="inlineStr">
        <is>
          <t>2026-07-09 vs source</t>
        </is>
      </c>
    </row>
    <row r="80" ht="35.05" customHeight="1" s="28">
      <c r="A80" s="46" t="inlineStr">
        <is>
          <t>VC-079</t>
        </is>
      </c>
      <c r="B80" s="61" t="inlineStr">
        <is>
          <t>UI Elements</t>
        </is>
      </c>
      <c r="C80" s="48" t="inlineStr">
        <is>
          <t>Chat list</t>
        </is>
      </c>
      <c r="D80" s="48" t="inlineStr">
        <is>
          <t>Chat row full anatomy</t>
        </is>
      </c>
      <c r="E80" s="48" t="inlineStr">
        <is>
          <t>Avatar, name resolution chain (contact-&gt;push name-&gt;number), typed preview with icons, You: prefix, ticks, timestamp humanization, unread badge, mute/pin icons.</t>
        </is>
      </c>
      <c r="F80" s="48" t="inlineStr">
        <is>
          <t>Chat list row spec (doc sec 2.4)</t>
        </is>
      </c>
      <c r="G80" s="49" t="inlineStr">
        <is>
          <t>P0</t>
        </is>
      </c>
      <c r="H80" s="50" t="inlineStr">
        <is>
          <t>M</t>
        </is>
      </c>
      <c r="I80" s="48" t="inlineStr">
        <is>
          <t>Track A</t>
        </is>
      </c>
      <c r="J80" s="48" t="n"/>
      <c r="K80" s="51" t="inlineStr">
        <is>
          <t>Done</t>
        </is>
      </c>
      <c r="L80" s="52" t="inlineStr">
        <is>
          <t>app/(tabs)/chats.tsx:544-591 (avatar/preview/You:/ticks/timestamp/unread/mute+pin)</t>
        </is>
      </c>
      <c r="M80" s="52" t="inlineStr">
        <is>
          <t>Name chain simplified to peerName||name; no push-name -&gt; number fallback</t>
        </is>
      </c>
      <c r="N80" s="27" t="inlineStr">
        <is>
          <t>2026-07-09 vs source</t>
        </is>
      </c>
    </row>
    <row r="81" ht="23.85" customHeight="1" s="28">
      <c r="A81" s="46" t="inlineStr">
        <is>
          <t>VC-080</t>
        </is>
      </c>
      <c r="B81" s="61" t="inlineStr">
        <is>
          <t>UI Elements</t>
        </is>
      </c>
      <c r="C81" s="48" t="inlineStr">
        <is>
          <t>Chat list</t>
        </is>
      </c>
      <c r="D81" s="48" t="inlineStr">
        <is>
          <t>Typing/recording preview override</t>
        </is>
      </c>
      <c r="E81" s="48" t="inlineStr">
        <is>
          <t>Live green 'typing... / recording audio...' swap while composing stanza active.</t>
        </is>
      </c>
      <c r="F81" s="48" t="inlineStr">
        <is>
          <t>Preview override</t>
        </is>
      </c>
      <c r="G81" s="53" t="inlineStr">
        <is>
          <t>P1</t>
        </is>
      </c>
      <c r="H81" s="50" t="inlineStr">
        <is>
          <t>S</t>
        </is>
      </c>
      <c r="I81" s="48" t="inlineStr">
        <is>
          <t>Track A</t>
        </is>
      </c>
      <c r="J81" s="48" t="n"/>
      <c r="K81" s="54" t="inlineStr">
        <is>
          <t>Partial</t>
        </is>
      </c>
      <c r="L81" s="52" t="inlineStr">
        <is>
          <t>app/(tabs)/chats.tsx:570-571 'typing...' override</t>
        </is>
      </c>
      <c r="M81" s="52" t="inlineStr">
        <is>
          <t>No 'recording audio...' override</t>
        </is>
      </c>
      <c r="N81" s="27" t="inlineStr">
        <is>
          <t>2026-07-09 vs source</t>
        </is>
      </c>
    </row>
    <row r="82" ht="15" customHeight="1" s="28">
      <c r="A82" s="46" t="inlineStr">
        <is>
          <t>VC-081</t>
        </is>
      </c>
      <c r="B82" s="61" t="inlineStr">
        <is>
          <t>UI Elements</t>
        </is>
      </c>
      <c r="C82" s="48" t="inlineStr">
        <is>
          <t>Chat list</t>
        </is>
      </c>
      <c r="D82" s="48" t="inlineStr">
        <is>
          <t>Filter chips row</t>
        </is>
      </c>
      <c r="E82" s="48" t="inlineStr">
        <is>
          <t>All / Unread / Favourites / Groups / custom lists; local queries.</t>
        </is>
      </c>
      <c r="F82" s="48" t="inlineStr">
        <is>
          <t>Filter chips</t>
        </is>
      </c>
      <c r="G82" s="55" t="inlineStr">
        <is>
          <t>P2</t>
        </is>
      </c>
      <c r="H82" s="50" t="inlineStr">
        <is>
          <t>S</t>
        </is>
      </c>
      <c r="I82" s="48" t="inlineStr">
        <is>
          <t>Later</t>
        </is>
      </c>
      <c r="J82" s="48" t="n"/>
      <c r="K82" s="54" t="inlineStr">
        <is>
          <t>Partial</t>
        </is>
      </c>
      <c r="L82" s="52" t="inlineStr">
        <is>
          <t>chats.tsx:38-44 FOLDERS All/Unread/Groups/Pinned/Archive; chips :342-356</t>
        </is>
      </c>
      <c r="M82" s="52" t="inlineStr">
        <is>
          <t>No Favourites chip, no custom user-defined lists</t>
        </is>
      </c>
      <c r="N82" s="27" t="inlineStr">
        <is>
          <t>2026-07-09 vs source</t>
        </is>
      </c>
    </row>
    <row r="83" ht="23.85" customHeight="1" s="28">
      <c r="A83" s="46" t="inlineStr">
        <is>
          <t>VC-082</t>
        </is>
      </c>
      <c r="B83" s="61" t="inlineStr">
        <is>
          <t>UI Elements</t>
        </is>
      </c>
      <c r="C83" s="48" t="inlineStr">
        <is>
          <t>Chat list</t>
        </is>
      </c>
      <c r="D83" s="48" t="inlineStr">
        <is>
          <t>Archived row + keep-archived setting</t>
        </is>
      </c>
      <c r="E83" s="48" t="inlineStr">
        <is>
          <t>Collapsed archived count row; toggle controls un-archive on new message.</t>
        </is>
      </c>
      <c r="F83" s="48" t="inlineStr">
        <is>
          <t>Archive behavior</t>
        </is>
      </c>
      <c r="G83" s="55" t="inlineStr">
        <is>
          <t>P2</t>
        </is>
      </c>
      <c r="H83" s="50" t="inlineStr">
        <is>
          <t>S</t>
        </is>
      </c>
      <c r="I83" s="48" t="inlineStr">
        <is>
          <t>Later</t>
        </is>
      </c>
      <c r="J83" s="48" t="n"/>
      <c r="K83" s="54" t="inlineStr">
        <is>
          <t>Partial</t>
        </is>
      </c>
      <c r="L83" s="52" t="inlineStr">
        <is>
          <t>chats.tsx:285 archive chip; swipe-archive :535-537</t>
        </is>
      </c>
      <c r="M83" s="52" t="inlineStr">
        <is>
          <t>No dedicated Archived header row; no keep-archived setting</t>
        </is>
      </c>
      <c r="N83" s="27" t="inlineStr">
        <is>
          <t>2026-07-09 vs source</t>
        </is>
      </c>
    </row>
    <row r="84" ht="23.85" customHeight="1" s="28">
      <c r="A84" s="46" t="inlineStr">
        <is>
          <t>VC-083</t>
        </is>
      </c>
      <c r="B84" s="61" t="inlineStr">
        <is>
          <t>UI Elements</t>
        </is>
      </c>
      <c r="C84" s="48" t="inlineStr">
        <is>
          <t>Chat list</t>
        </is>
      </c>
      <c r="D84" s="48" t="inlineStr">
        <is>
          <t>Swipe + long-press chat actions</t>
        </is>
      </c>
      <c r="E84" s="48" t="inlineStr">
        <is>
          <t>Archive, pin (max 3), mute, mark read/unread, delete, block, lock.</t>
        </is>
      </c>
      <c r="F84" s="48" t="inlineStr">
        <is>
          <t>Row actions</t>
        </is>
      </c>
      <c r="G84" s="53" t="inlineStr">
        <is>
          <t>P1</t>
        </is>
      </c>
      <c r="H84" s="50" t="inlineStr">
        <is>
          <t>M</t>
        </is>
      </c>
      <c r="I84" s="48" t="inlineStr">
        <is>
          <t>Track A</t>
        </is>
      </c>
      <c r="J84" s="48" t="n"/>
      <c r="K84" s="54" t="inlineStr">
        <is>
          <t>Partial</t>
        </is>
      </c>
      <c r="L84" s="52" t="inlineStr">
        <is>
          <t>chats.tsx:523-542 swipe pin/mute/archive/delete; :390 long-press multiselect</t>
        </is>
      </c>
      <c r="M84" s="52" t="inlineStr">
        <is>
          <t>Pin not capped at 3; no mark read/unread; no lock; no block in swipe/bulk</t>
        </is>
      </c>
      <c r="N84" s="27" t="inlineStr">
        <is>
          <t>2026-07-09 vs source</t>
        </is>
      </c>
    </row>
    <row r="85" ht="23.85" customHeight="1" s="28">
      <c r="A85" s="46" t="inlineStr">
        <is>
          <t>VC-084</t>
        </is>
      </c>
      <c r="B85" s="61" t="inlineStr">
        <is>
          <t>UI Elements</t>
        </is>
      </c>
      <c r="C85" s="48" t="inlineStr">
        <is>
          <t>Chat screen</t>
        </is>
      </c>
      <c r="D85" s="48" t="inlineStr">
        <is>
          <t>Header with live presence subtitle</t>
        </is>
      </c>
      <c r="E85" s="48" t="inlineStr">
        <is>
          <t>online / last seen / typing driven by subscription; group member list line.</t>
        </is>
      </c>
      <c r="F85" s="48" t="inlineStr">
        <is>
          <t>Presence subtitle</t>
        </is>
      </c>
      <c r="G85" s="53" t="inlineStr">
        <is>
          <t>P1</t>
        </is>
      </c>
      <c r="H85" s="50" t="inlineStr">
        <is>
          <t>M</t>
        </is>
      </c>
      <c r="I85" s="48" t="inlineStr">
        <is>
          <t>Track A</t>
        </is>
      </c>
      <c r="J85" s="48" t="n"/>
      <c r="K85" s="51" t="inlineStr">
        <is>
          <t>Done</t>
        </is>
      </c>
      <c r="L85" s="52" t="inlineStr">
        <is>
          <t>app/chat.tsx:1787-1793 online/last-seen/group members; typing 2139-2148</t>
        </is>
      </c>
      <c r="M85" s="52" t="inlineStr">
        <is>
          <t>Typing rendered above composer rather than in the subtitle</t>
        </is>
      </c>
      <c r="N85" s="27" t="inlineStr">
        <is>
          <t>2026-07-09 vs source</t>
        </is>
      </c>
    </row>
    <row r="86" ht="23.85" customHeight="1" s="28">
      <c r="A86" s="46" t="inlineStr">
        <is>
          <t>VC-085</t>
        </is>
      </c>
      <c r="B86" s="61" t="inlineStr">
        <is>
          <t>UI Elements</t>
        </is>
      </c>
      <c r="C86" s="48" t="inlineStr">
        <is>
          <t>Chat screen</t>
        </is>
      </c>
      <c r="D86" s="48" t="inlineStr">
        <is>
          <t>Text bubble rich rendering</t>
        </is>
      </c>
      <c r="E86" s="48" t="inlineStr">
        <is>
          <t>Markdown (*_~```), linkify URLs/numbers, large-emoji rule (1-3 emoji).</t>
        </is>
      </c>
      <c r="F86" s="48" t="inlineStr">
        <is>
          <t>Text bubble spec</t>
        </is>
      </c>
      <c r="G86" s="53" t="inlineStr">
        <is>
          <t>P1</t>
        </is>
      </c>
      <c r="H86" s="50" t="inlineStr">
        <is>
          <t>M</t>
        </is>
      </c>
      <c r="I86" s="48" t="inlineStr">
        <is>
          <t>Track A</t>
        </is>
      </c>
      <c r="J86" s="48" t="n"/>
      <c r="K86" s="54" t="inlineStr">
        <is>
          <t>Partial</t>
        </is>
      </c>
      <c r="L86" s="52" t="inlineStr">
        <is>
          <t>app/chat.tsx:2742-2771 URL linkify; 2700-2713 mention coloring</t>
        </is>
      </c>
      <c r="M86" s="52" t="inlineStr">
        <is>
          <t>NO markdown parsing (*_~``` inserted but never rendered); no phone linkify; no large-emoji (1-3) rule</t>
        </is>
      </c>
      <c r="N86" s="27" t="inlineStr">
        <is>
          <t>2026-07-09 vs source</t>
        </is>
      </c>
    </row>
    <row r="87" ht="35.05" customHeight="1" s="28">
      <c r="A87" s="46" t="inlineStr">
        <is>
          <t>VC-086</t>
        </is>
      </c>
      <c r="B87" s="61" t="inlineStr">
        <is>
          <t>UI Elements</t>
        </is>
      </c>
      <c r="C87" s="48" t="inlineStr">
        <is>
          <t>Chat screen</t>
        </is>
      </c>
      <c r="D87" s="48" t="inlineStr">
        <is>
          <t>All media bubble types</t>
        </is>
      </c>
      <c r="E87" s="48" t="inlineStr">
        <is>
          <t>Image/video/gif/sticker/voice(waveform,speed)/audio/doc/contact/location/live-location/poll tombstone/edited/view-once states per reference doc sec 3.2.</t>
        </is>
      </c>
      <c r="F87" s="48" t="inlineStr">
        <is>
          <t>Bubble type matrix</t>
        </is>
      </c>
      <c r="G87" s="53" t="inlineStr">
        <is>
          <t>P1</t>
        </is>
      </c>
      <c r="H87" s="50" t="inlineStr">
        <is>
          <t>L</t>
        </is>
      </c>
      <c r="I87" s="48" t="inlineStr">
        <is>
          <t>Track A</t>
        </is>
      </c>
      <c r="J87" s="48" t="n"/>
      <c r="K87" s="54" t="inlineStr">
        <is>
          <t>Partial</t>
        </is>
      </c>
      <c r="L87" s="52" t="inlineStr">
        <is>
          <t>chat.tsx:3733-3838 image/video/gif/sticker/audio/file/poll/location; view-once 3716-3732</t>
        </is>
      </c>
      <c r="M87" s="52" t="inlineStr">
        <is>
          <t>No contact bubble (type 'contact' unhandled); voice has no playback-speed control</t>
        </is>
      </c>
      <c r="N87" s="27" t="inlineStr">
        <is>
          <t>2026-07-09 vs source</t>
        </is>
      </c>
    </row>
    <row r="88" ht="23.85" customHeight="1" s="28">
      <c r="A88" s="46" t="inlineStr">
        <is>
          <t>VC-087</t>
        </is>
      </c>
      <c r="B88" s="61" t="inlineStr">
        <is>
          <t>UI Elements</t>
        </is>
      </c>
      <c r="C88" s="48" t="inlineStr">
        <is>
          <t>Chat screen</t>
        </is>
      </c>
      <c r="D88" s="48" t="inlineStr">
        <is>
          <t>System bubbles</t>
        </is>
      </c>
      <c r="E88" s="48" t="inlineStr">
        <is>
          <t>Day dividers, E2EE notice, group events, timer changes, key-change notices.</t>
        </is>
      </c>
      <c r="F88" s="48" t="inlineStr">
        <is>
          <t>Center bubbles</t>
        </is>
      </c>
      <c r="G88" s="53" t="inlineStr">
        <is>
          <t>P1</t>
        </is>
      </c>
      <c r="H88" s="50" t="inlineStr">
        <is>
          <t>S</t>
        </is>
      </c>
      <c r="I88" s="48" t="inlineStr">
        <is>
          <t>Track A</t>
        </is>
      </c>
      <c r="J88" s="48" t="n"/>
      <c r="K88" s="54" t="inlineStr">
        <is>
          <t>Partial</t>
        </is>
      </c>
      <c r="L88" s="52" t="inlineStr">
        <is>
          <t>chat.tsx:2054 DateChip day dividers; deleted tombstone 3584-3587</t>
        </is>
      </c>
      <c r="M88" s="52" t="inlineStr">
        <is>
          <t>No E2EE notice, group-event, timer-change, or key-change system bubbles</t>
        </is>
      </c>
      <c r="N88" s="27" t="inlineStr">
        <is>
          <t>2026-07-09 vs source</t>
        </is>
      </c>
    </row>
    <row r="89" ht="15" customHeight="1" s="28">
      <c r="A89" s="46" t="inlineStr">
        <is>
          <t>VC-088</t>
        </is>
      </c>
      <c r="B89" s="61" t="inlineStr">
        <is>
          <t>UI Elements</t>
        </is>
      </c>
      <c r="C89" s="48" t="inlineStr">
        <is>
          <t>Chat screen</t>
        </is>
      </c>
      <c r="D89" s="48" t="inlineStr">
        <is>
          <t>Long-press multi-select toolbar</t>
        </is>
      </c>
      <c r="E89" s="48" t="inlineStr">
        <is>
          <t>Reply/copy/forward/star/pin/delete/report/info on selection.</t>
        </is>
      </c>
      <c r="F89" s="48" t="inlineStr">
        <is>
          <t>Selection toolbar</t>
        </is>
      </c>
      <c r="G89" s="53" t="inlineStr">
        <is>
          <t>P1</t>
        </is>
      </c>
      <c r="H89" s="50" t="inlineStr">
        <is>
          <t>M</t>
        </is>
      </c>
      <c r="I89" s="48" t="inlineStr">
        <is>
          <t>Track A</t>
        </is>
      </c>
      <c r="J89" s="48" t="n"/>
      <c r="K89" s="54" t="inlineStr">
        <is>
          <t>Partial</t>
        </is>
      </c>
      <c r="L89" s="52" t="inlineStr">
        <is>
          <t>chat.tsx:880-928 + components/MessageActionSheet.tsx:64-99</t>
        </is>
      </c>
      <c r="M89" s="52" t="inlineStr">
        <is>
          <t>Single-message long-press sheet, not a multi-select toolbar; no Report action</t>
        </is>
      </c>
      <c r="N89" s="27" t="inlineStr">
        <is>
          <t>2026-07-09 vs source</t>
        </is>
      </c>
    </row>
    <row r="90" ht="23.85" customHeight="1" s="28">
      <c r="A90" s="46" t="inlineStr">
        <is>
          <t>VC-089</t>
        </is>
      </c>
      <c r="B90" s="61" t="inlineStr">
        <is>
          <t>UI Elements</t>
        </is>
      </c>
      <c r="C90" s="48" t="inlineStr">
        <is>
          <t>Chat screen</t>
        </is>
      </c>
      <c r="D90" s="48" t="inlineStr">
        <is>
          <t>Message Info screen</t>
        </is>
      </c>
      <c r="E90" s="48" t="inlineStr">
        <is>
          <t>Per-recipient delivered/read/played timestamps from receipts table.</t>
        </is>
      </c>
      <c r="F90" s="48" t="inlineStr">
        <is>
          <t>Message info</t>
        </is>
      </c>
      <c r="G90" s="55" t="inlineStr">
        <is>
          <t>P2</t>
        </is>
      </c>
      <c r="H90" s="50" t="inlineStr">
        <is>
          <t>S</t>
        </is>
      </c>
      <c r="I90" s="48" t="inlineStr">
        <is>
          <t>Later</t>
        </is>
      </c>
      <c r="J90" s="48" t="n"/>
      <c r="K90" s="54" t="inlineStr">
        <is>
          <t>Partial</t>
        </is>
      </c>
      <c r="L90" s="52" t="inlineStr">
        <is>
          <t>chat.tsx:2374-2410 Message-info modal (Read/Delivered/Sent buckets)</t>
        </is>
      </c>
      <c r="M90" s="52" t="inlineStr">
        <is>
          <t>Modal not a screen; no per-recipient timestamps; no Played row</t>
        </is>
      </c>
      <c r="N90" s="27" t="inlineStr">
        <is>
          <t>2026-07-09 vs source</t>
        </is>
      </c>
    </row>
    <row r="91" ht="15" customHeight="1" s="28">
      <c r="A91" s="46" t="inlineStr">
        <is>
          <t>VC-090</t>
        </is>
      </c>
      <c r="B91" s="61" t="inlineStr">
        <is>
          <t>UI Elements</t>
        </is>
      </c>
      <c r="C91" s="48" t="inlineStr">
        <is>
          <t>Chat screen</t>
        </is>
      </c>
      <c r="D91" s="48" t="inlineStr">
        <is>
          <t>Swipe-to-reply gesture</t>
        </is>
      </c>
      <c r="E91" s="48" t="inlineStr">
        <is>
          <t>Right swipe on bubble opens reply banner with quoted preview.</t>
        </is>
      </c>
      <c r="F91" s="48" t="inlineStr">
        <is>
          <t>Swipe reply</t>
        </is>
      </c>
      <c r="G91" s="53" t="inlineStr">
        <is>
          <t>P1</t>
        </is>
      </c>
      <c r="H91" s="50" t="inlineStr">
        <is>
          <t>S</t>
        </is>
      </c>
      <c r="I91" s="48" t="inlineStr">
        <is>
          <t>Track A</t>
        </is>
      </c>
      <c r="J91" s="48" t="n"/>
      <c r="K91" s="51" t="inlineStr">
        <is>
          <t>Done</t>
        </is>
      </c>
      <c r="L91" s="52" t="inlineStr">
        <is>
          <t>app/chat.tsx:2056 &lt;SwipeToReply&gt; wraps each bubble</t>
        </is>
      </c>
      <c r="M91" s="52" t="inlineStr"/>
      <c r="N91" s="27" t="inlineStr">
        <is>
          <t>2026-07-09 vs source</t>
        </is>
      </c>
    </row>
    <row r="92" ht="23.85" customHeight="1" s="28">
      <c r="A92" s="46" t="inlineStr">
        <is>
          <t>VC-091</t>
        </is>
      </c>
      <c r="B92" s="61" t="inlineStr">
        <is>
          <t>UI Elements</t>
        </is>
      </c>
      <c r="C92" s="48" t="inlineStr">
        <is>
          <t>Chat screen</t>
        </is>
      </c>
      <c r="D92" s="48" t="inlineStr">
        <is>
          <t>Reaction picker + aggregation strip</t>
        </is>
      </c>
      <c r="E92" s="48" t="inlineStr">
        <is>
          <t>Double-tap/long-press picker; counts under bubble; tap -&gt; reactor list.</t>
        </is>
      </c>
      <c r="F92" s="48" t="inlineStr">
        <is>
          <t>Reactions UI</t>
        </is>
      </c>
      <c r="G92" s="53" t="inlineStr">
        <is>
          <t>P1</t>
        </is>
      </c>
      <c r="H92" s="50" t="inlineStr">
        <is>
          <t>M</t>
        </is>
      </c>
      <c r="I92" s="48" t="inlineStr">
        <is>
          <t>Track A</t>
        </is>
      </c>
      <c r="J92" s="48" t="n"/>
      <c r="K92" s="54" t="inlineStr">
        <is>
          <t>Partial</t>
        </is>
      </c>
      <c r="L92" s="52" t="inlineStr">
        <is>
          <t>chat.tsx:3880-3893 aggregation chips; picker 2342-2363</t>
        </is>
      </c>
      <c r="M92" s="52" t="inlineStr">
        <is>
          <t>No reactor-list (who-reacted) view</t>
        </is>
      </c>
      <c r="N92" s="27" t="inlineStr">
        <is>
          <t>2026-07-09 vs source</t>
        </is>
      </c>
    </row>
    <row r="93" ht="35.05" customHeight="1" s="28">
      <c r="A93" s="46" t="inlineStr">
        <is>
          <t>VC-092</t>
        </is>
      </c>
      <c r="B93" s="61" t="inlineStr">
        <is>
          <t>UI Elements</t>
        </is>
      </c>
      <c r="C93" s="48" t="inlineStr">
        <is>
          <t>Composer</t>
        </is>
      </c>
      <c r="D93" s="48" t="inlineStr">
        <is>
          <t>Full composer bar</t>
        </is>
      </c>
      <c r="E93" s="48" t="inlineStr">
        <is>
          <t>Emoji/GIF/sticker panel, attach sheet (doc/camera/gallery/audio/location/contact/poll), send morph, reply banner.</t>
        </is>
      </c>
      <c r="F93" s="48" t="inlineStr">
        <is>
          <t>Composer spec (doc 3.3)</t>
        </is>
      </c>
      <c r="G93" s="49" t="inlineStr">
        <is>
          <t>P0</t>
        </is>
      </c>
      <c r="H93" s="50" t="inlineStr">
        <is>
          <t>L</t>
        </is>
      </c>
      <c r="I93" s="48" t="inlineStr">
        <is>
          <t>Track A</t>
        </is>
      </c>
      <c r="J93" s="48" t="n"/>
      <c r="K93" s="54" t="inlineStr">
        <is>
          <t>Partial</t>
        </is>
      </c>
      <c r="L93" s="52" t="inlineStr">
        <is>
          <t>chat.tsx:2210-2338 composer (emoji/GIF/attach/camera/mic-send morph); reply banner 2182-2208</t>
        </is>
      </c>
      <c r="M93" s="52" t="inlineStr">
        <is>
          <t>No sticker panel; attach sheet missing Contact and Audio</t>
        </is>
      </c>
      <c r="N93" s="27" t="inlineStr">
        <is>
          <t>2026-07-09 vs source</t>
        </is>
      </c>
    </row>
    <row r="94" ht="23.85" customHeight="1" s="28">
      <c r="A94" s="46" t="inlineStr">
        <is>
          <t>VC-093</t>
        </is>
      </c>
      <c r="B94" s="61" t="inlineStr">
        <is>
          <t>UI Elements</t>
        </is>
      </c>
      <c r="C94" s="48" t="inlineStr">
        <is>
          <t>Composer</t>
        </is>
      </c>
      <c r="D94" s="48" t="inlineStr">
        <is>
          <t>Voice note hold/lock/cancel recorder</t>
        </is>
      </c>
      <c r="E94" s="48" t="inlineStr">
        <is>
          <t>Hold-to-record, slide-up lock, slide-left cancel; Opus/AAC encode -&gt; media pipeline.</t>
        </is>
      </c>
      <c r="F94" s="48" t="inlineStr">
        <is>
          <t>PTT recorder</t>
        </is>
      </c>
      <c r="G94" s="53" t="inlineStr">
        <is>
          <t>P1</t>
        </is>
      </c>
      <c r="H94" s="50" t="inlineStr">
        <is>
          <t>M</t>
        </is>
      </c>
      <c r="I94" s="48" t="inlineStr">
        <is>
          <t>Track E</t>
        </is>
      </c>
      <c r="J94" s="48" t="n"/>
      <c r="K94" s="54" t="inlineStr">
        <is>
          <t>Partial</t>
        </is>
      </c>
      <c r="L94" s="52" t="inlineStr">
        <is>
          <t>chat.tsx:2216-2227 recording UI; mic start 2316-2324</t>
        </is>
      </c>
      <c r="M94" s="52" t="inlineStr">
        <is>
          <t>Tap-to-start (not hold-to-record); no slide-up lock / slide-left cancel gestures</t>
        </is>
      </c>
      <c r="N94" s="27" t="inlineStr">
        <is>
          <t>2026-07-09 vs source</t>
        </is>
      </c>
    </row>
    <row r="95" ht="15" customHeight="1" s="28">
      <c r="A95" s="46" t="inlineStr">
        <is>
          <t>VC-094</t>
        </is>
      </c>
      <c r="B95" s="61" t="inlineStr">
        <is>
          <t>UI Elements</t>
        </is>
      </c>
      <c r="C95" s="48" t="inlineStr">
        <is>
          <t>Composer</t>
        </is>
      </c>
      <c r="D95" s="48" t="inlineStr">
        <is>
          <t>@Mention autocomplete in groups</t>
        </is>
      </c>
      <c r="E95" s="48" t="inlineStr">
        <is>
          <t>Member list popup on @; chips embedded as metadata.</t>
        </is>
      </c>
      <c r="F95" s="48" t="inlineStr">
        <is>
          <t>Mention UI</t>
        </is>
      </c>
      <c r="G95" s="53" t="inlineStr">
        <is>
          <t>P1</t>
        </is>
      </c>
      <c r="H95" s="50" t="inlineStr">
        <is>
          <t>S</t>
        </is>
      </c>
      <c r="I95" s="48" t="inlineStr">
        <is>
          <t>Track A</t>
        </is>
      </c>
      <c r="J95" s="48" t="n"/>
      <c r="K95" s="51" t="inlineStr">
        <is>
          <t>Done</t>
        </is>
      </c>
      <c r="L95" s="52" t="inlineStr">
        <is>
          <t>chat.tsx:766-780 autocomplete; 2121-2136 member popup; meta.mentions 804-805</t>
        </is>
      </c>
      <c r="M95" s="52" t="inlineStr">
        <is>
          <t>Rendered as colored tokens, not removable chips</t>
        </is>
      </c>
      <c r="N95" s="27" t="inlineStr">
        <is>
          <t>2026-07-09 vs source</t>
        </is>
      </c>
    </row>
    <row r="96" ht="23.85" customHeight="1" s="28">
      <c r="A96" s="46" t="inlineStr">
        <is>
          <t>VC-095</t>
        </is>
      </c>
      <c r="B96" s="61" t="inlineStr">
        <is>
          <t>UI Elements</t>
        </is>
      </c>
      <c r="C96" s="48" t="inlineStr">
        <is>
          <t>Banners</t>
        </is>
      </c>
      <c r="D96" s="48" t="inlineStr">
        <is>
          <t>Pinned message banner + unknown-contact safety banner</t>
        </is>
      </c>
      <c r="E96" s="48" t="inlineStr">
        <is>
          <t>Pin banner with jump; Add/Block/Report banner for unknown senders.</t>
        </is>
      </c>
      <c r="F96" s="48" t="inlineStr">
        <is>
          <t>Contextual banners</t>
        </is>
      </c>
      <c r="G96" s="55" t="inlineStr">
        <is>
          <t>P2</t>
        </is>
      </c>
      <c r="H96" s="50" t="inlineStr">
        <is>
          <t>S</t>
        </is>
      </c>
      <c r="I96" s="48" t="inlineStr">
        <is>
          <t>Later</t>
        </is>
      </c>
      <c r="J96" s="48" t="n"/>
      <c r="K96" s="54" t="inlineStr">
        <is>
          <t>Partial</t>
        </is>
      </c>
      <c r="L96" s="52" t="inlineStr">
        <is>
          <t>chat.tsx:2011-2030 pinned-message banner (jump + unpin)</t>
        </is>
      </c>
      <c r="M96" s="52" t="inlineStr">
        <is>
          <t>No unknown-contact safety banner (Add/Block/Report)</t>
        </is>
      </c>
      <c r="N96" s="27" t="inlineStr">
        <is>
          <t>2026-07-09 vs source</t>
        </is>
      </c>
    </row>
    <row r="97" ht="23.85" customHeight="1" s="28">
      <c r="A97" s="46" t="inlineStr">
        <is>
          <t>VC-096</t>
        </is>
      </c>
      <c r="B97" s="61" t="inlineStr">
        <is>
          <t>UI Elements</t>
        </is>
      </c>
      <c r="C97" s="48" t="inlineStr">
        <is>
          <t>Media</t>
        </is>
      </c>
      <c r="D97" s="48" t="inlineStr">
        <is>
          <t>Full-screen media viewer</t>
        </is>
      </c>
      <c r="E97" s="48" t="inlineStr">
        <is>
          <t>Pinch zoom, swipe-down dismiss, left/right chronological media navigation, share/star/delete, All Media grid.</t>
        </is>
      </c>
      <c r="F97" s="48" t="inlineStr">
        <is>
          <t>Media viewer spec</t>
        </is>
      </c>
      <c r="G97" s="53" t="inlineStr">
        <is>
          <t>P1</t>
        </is>
      </c>
      <c r="H97" s="50" t="inlineStr">
        <is>
          <t>M</t>
        </is>
      </c>
      <c r="I97" s="48" t="inlineStr">
        <is>
          <t>Track A</t>
        </is>
      </c>
      <c r="J97" s="48" t="n"/>
      <c r="K97" s="54" t="inlineStr">
        <is>
          <t>Partial</t>
        </is>
      </c>
      <c r="L97" s="52" t="inlineStr">
        <is>
          <t>app/media-viewer.tsx:117-137 tap-zoom; share/save 255-256</t>
        </is>
      </c>
      <c r="M97" s="52" t="inlineStr">
        <is>
          <t>No pinch zoom, no swipe-down dismiss, no chronological prev/next, no star/delete, no All-Media grid</t>
        </is>
      </c>
      <c r="N97" s="27" t="inlineStr">
        <is>
          <t>2026-07-09 vs source</t>
        </is>
      </c>
    </row>
    <row r="98" ht="23.85" customHeight="1" s="28">
      <c r="A98" s="46" t="inlineStr">
        <is>
          <t>VC-097</t>
        </is>
      </c>
      <c r="B98" s="61" t="inlineStr">
        <is>
          <t>UI Elements</t>
        </is>
      </c>
      <c r="C98" s="48" t="inlineStr">
        <is>
          <t>Media</t>
        </is>
      </c>
      <c r="D98" s="48" t="inlineStr">
        <is>
          <t>Camera composer with edit tools</t>
        </is>
      </c>
      <c r="E98" s="48" t="inlineStr">
        <is>
          <t>Capture, gallery strip, crop/draw/text/sticker/blur, HD toggle, caption + recipient chips, view-once toggle.</t>
        </is>
      </c>
      <c r="F98" s="48" t="inlineStr">
        <is>
          <t>Camera composer</t>
        </is>
      </c>
      <c r="G98" s="55" t="inlineStr">
        <is>
          <t>P2</t>
        </is>
      </c>
      <c r="H98" s="50" t="inlineStr">
        <is>
          <t>L</t>
        </is>
      </c>
      <c r="I98" s="48" t="inlineStr">
        <is>
          <t>Track E</t>
        </is>
      </c>
      <c r="J98" s="48" t="n"/>
      <c r="K98" s="54" t="inlineStr">
        <is>
          <t>Partial</t>
        </is>
      </c>
      <c r="L98" s="52" t="inlineStr">
        <is>
          <t>app/camera.tsx:143-145 view-once/modes; app/image-editor.tsx:280-282 crop/draw/text/filter</t>
        </is>
      </c>
      <c r="M98" s="52" t="inlineStr">
        <is>
          <t>Separate screens not a unified composer; no sticker/blur; no HD toggle; no caption; no recipient chips</t>
        </is>
      </c>
      <c r="N98" s="27" t="inlineStr">
        <is>
          <t>2026-07-09 vs source</t>
        </is>
      </c>
    </row>
    <row r="99" ht="23.85" customHeight="1" s="28">
      <c r="A99" s="46" t="inlineStr">
        <is>
          <t>VC-098</t>
        </is>
      </c>
      <c r="B99" s="61" t="inlineStr">
        <is>
          <t>UI Elements</t>
        </is>
      </c>
      <c r="C99" s="48" t="inlineStr">
        <is>
          <t>Status</t>
        </is>
      </c>
      <c r="D99" s="48" t="inlineStr">
        <is>
          <t>Status rings + story viewer</t>
        </is>
      </c>
      <c r="E99" s="48" t="inlineStr">
        <is>
          <t>Segmented rings viewed/unviewed, auto-advance progress bars, hold-pause, reply bar, viewer list.</t>
        </is>
      </c>
      <c r="F99" s="48" t="inlineStr">
        <is>
          <t>Status viewer spec</t>
        </is>
      </c>
      <c r="G99" s="53" t="inlineStr">
        <is>
          <t>P1</t>
        </is>
      </c>
      <c r="H99" s="50" t="inlineStr">
        <is>
          <t>L</t>
        </is>
      </c>
      <c r="I99" s="48" t="inlineStr">
        <is>
          <t>Track F</t>
        </is>
      </c>
      <c r="J99" s="48" t="n"/>
      <c r="K99" s="54" t="inlineStr">
        <is>
          <t>Partial</t>
        </is>
      </c>
      <c r="L99" s="52" t="inlineStr">
        <is>
          <t>status.tsx:254,418 segmented rings; story-viewer.tsx:312-337 pause/progress; 367-400 viewer list</t>
        </is>
      </c>
      <c r="M99" s="52" t="inlineStr">
        <is>
          <t>No reply bar in the story viewer</t>
        </is>
      </c>
      <c r="N99" s="27" t="inlineStr">
        <is>
          <t>2026-07-09 vs source</t>
        </is>
      </c>
    </row>
    <row r="100" ht="23.85" customHeight="1" s="28">
      <c r="A100" s="46" t="inlineStr">
        <is>
          <t>VC-099</t>
        </is>
      </c>
      <c r="B100" s="61" t="inlineStr">
        <is>
          <t>UI Elements</t>
        </is>
      </c>
      <c r="C100" s="48" t="inlineStr">
        <is>
          <t>Security</t>
        </is>
      </c>
      <c r="D100" s="48" t="inlineStr">
        <is>
          <t>Safety-number verification screen</t>
        </is>
      </c>
      <c r="E100" s="48" t="inlineStr">
        <is>
          <t>60-digit code + QR from both identity keys; scan-to-verify; verified badge state.</t>
        </is>
      </c>
      <c r="F100" s="48" t="inlineStr">
        <is>
          <t>Encryption row (doc sec 6)</t>
        </is>
      </c>
      <c r="G100" s="53" t="inlineStr">
        <is>
          <t>P1</t>
        </is>
      </c>
      <c r="H100" s="50" t="inlineStr">
        <is>
          <t>M</t>
        </is>
      </c>
      <c r="I100" s="48" t="inlineStr">
        <is>
          <t>Track F</t>
        </is>
      </c>
      <c r="J100" s="48" t="n"/>
      <c r="K100" s="54" t="inlineStr">
        <is>
          <t>Partial</t>
        </is>
      </c>
      <c r="L100" s="52" t="inlineStr">
        <is>
          <t>app/verify-contact.tsx:108 60-digit safety number; verified badge 118-138</t>
        </is>
      </c>
      <c r="M100" s="52" t="inlineStr">
        <is>
          <t>No QR code rendering and no scan-to-verify flow</t>
        </is>
      </c>
      <c r="N100" s="27" t="inlineStr">
        <is>
          <t>2026-07-09 vs source</t>
        </is>
      </c>
    </row>
    <row r="101" ht="23.85" customHeight="1" s="28">
      <c r="A101" s="46" t="inlineStr">
        <is>
          <t>VC-100</t>
        </is>
      </c>
      <c r="B101" s="61" t="inlineStr">
        <is>
          <t>UI Elements</t>
        </is>
      </c>
      <c r="C101" s="48" t="inlineStr">
        <is>
          <t>Settings</t>
        </is>
      </c>
      <c r="D101" s="48" t="inlineStr">
        <is>
          <t>Settings tree parity</t>
        </is>
      </c>
      <c r="E101" s="48" t="inlineStr">
        <is>
          <t>Account/Privacy/Chats/Notifications/Storage&amp;Data screens per reference doc sec 7 (scoped to shipped features).</t>
        </is>
      </c>
      <c r="F101" s="48" t="inlineStr">
        <is>
          <t>Settings tree</t>
        </is>
      </c>
      <c r="G101" s="53" t="inlineStr">
        <is>
          <t>P1</t>
        </is>
      </c>
      <c r="H101" s="50" t="inlineStr">
        <is>
          <t>L</t>
        </is>
      </c>
      <c r="I101" s="48" t="inlineStr">
        <is>
          <t>Later</t>
        </is>
      </c>
      <c r="J101" s="48" t="n"/>
      <c r="K101" s="54" t="inlineStr">
        <is>
          <t>Partial</t>
        </is>
      </c>
      <c r="L101" s="52" t="inlineStr">
        <is>
          <t>app/settings.tsx:247-266 Chats, 268-324 Privacy, 340 Notifications</t>
        </is>
      </c>
      <c r="M101" s="52" t="inlineStr">
        <is>
          <t>No Storage&amp;Data section (storage-manager.tsx unlinked); no explicit Account header</t>
        </is>
      </c>
      <c r="N101" s="27" t="inlineStr">
        <is>
          <t>2026-07-09 vs source</t>
        </is>
      </c>
    </row>
    <row r="102" ht="23.85" customHeight="1" s="28">
      <c r="A102" s="46" t="inlineStr">
        <is>
          <t>VC-101</t>
        </is>
      </c>
      <c r="B102" s="62" t="inlineStr">
        <is>
          <t>UX</t>
        </is>
      </c>
      <c r="C102" s="48" t="inlineStr">
        <is>
          <t>Perceived speed</t>
        </is>
      </c>
      <c r="D102" s="48" t="inlineStr">
        <is>
          <t>Instant-send feel end-to-end</t>
        </is>
      </c>
      <c r="E102" s="48" t="inlineStr">
        <is>
          <t>From tap to bubble &lt;100ms regardless of network; all network states expressed via ticks not spinners.</t>
        </is>
      </c>
      <c r="F102" s="48" t="inlineStr">
        <is>
          <t>UI never waits</t>
        </is>
      </c>
      <c r="G102" s="49" t="inlineStr">
        <is>
          <t>P0</t>
        </is>
      </c>
      <c r="H102" s="50" t="inlineStr">
        <is>
          <t>M</t>
        </is>
      </c>
      <c r="I102" s="48" t="inlineStr">
        <is>
          <t>Track A</t>
        </is>
      </c>
      <c r="J102" s="48" t="inlineStr">
        <is>
          <t>Optimistic insert</t>
        </is>
      </c>
      <c r="K102" s="51" t="inlineStr">
        <is>
          <t>Done</t>
        </is>
      </c>
      <c r="L102" s="52" t="inlineStr">
        <is>
          <t>app/chat.tsx:808-824 pre-network bubble; ticks not spinners 3860-3870</t>
        </is>
      </c>
      <c r="M102" s="52" t="inlineStr"/>
      <c r="N102" s="27" t="inlineStr">
        <is>
          <t>2026-07-09 vs source</t>
        </is>
      </c>
    </row>
    <row r="103" ht="23.85" customHeight="1" s="28">
      <c r="A103" s="46" t="inlineStr">
        <is>
          <t>VC-102</t>
        </is>
      </c>
      <c r="B103" s="62" t="inlineStr">
        <is>
          <t>UX</t>
        </is>
      </c>
      <c r="C103" s="48" t="inlineStr">
        <is>
          <t>Notifications</t>
        </is>
      </c>
      <c r="D103" s="48" t="inlineStr">
        <is>
          <t>Rich grouped notifications</t>
        </is>
      </c>
      <c r="E103" s="48" t="inlineStr">
        <is>
          <t>Group per chat, inline reply + mark-read actions, preview privacy setting, mention bypasses group mute.</t>
        </is>
      </c>
      <c r="F103" s="48" t="inlineStr">
        <is>
          <t>Notification behavior</t>
        </is>
      </c>
      <c r="G103" s="49" t="inlineStr">
        <is>
          <t>P0</t>
        </is>
      </c>
      <c r="H103" s="50" t="inlineStr">
        <is>
          <t>M</t>
        </is>
      </c>
      <c r="I103" s="48" t="inlineStr">
        <is>
          <t>Track A</t>
        </is>
      </c>
      <c r="J103" s="48" t="n"/>
      <c r="K103" s="54" t="inlineStr">
        <is>
          <t>Partial</t>
        </is>
      </c>
      <c r="L103" s="52" t="inlineStr">
        <is>
          <t>services/notificationService.ts:69,161-166; per-chat channels lib/push.ts:25-29</t>
        </is>
      </c>
      <c r="M103" s="52" t="inlineStr">
        <is>
          <t>No per-chat grouping/threadId, no inline reply / mark-read actions, no mention-bypasses-mute; preview privacy hardcoded</t>
        </is>
      </c>
      <c r="N103" s="27" t="inlineStr">
        <is>
          <t>2026-07-09 vs source</t>
        </is>
      </c>
    </row>
    <row r="104" ht="23.85" customHeight="1" s="28">
      <c r="A104" s="46" t="inlineStr">
        <is>
          <t>VC-103</t>
        </is>
      </c>
      <c r="B104" s="62" t="inlineStr">
        <is>
          <t>UX</t>
        </is>
      </c>
      <c r="C104" s="48" t="inlineStr">
        <is>
          <t>Notifications</t>
        </is>
      </c>
      <c r="D104" s="48" t="inlineStr">
        <is>
          <t>Per-chat custom tones + mute durations</t>
        </is>
      </c>
      <c r="E104" s="48" t="inlineStr">
        <is>
          <t>8h/1w/Always; custom sound per chat; stored locally.</t>
        </is>
      </c>
      <c r="F104" s="48" t="inlineStr">
        <is>
          <t>Per-chat notification settings</t>
        </is>
      </c>
      <c r="G104" s="55" t="inlineStr">
        <is>
          <t>P2</t>
        </is>
      </c>
      <c r="H104" s="50" t="inlineStr">
        <is>
          <t>S</t>
        </is>
      </c>
      <c r="I104" s="48" t="inlineStr">
        <is>
          <t>Later</t>
        </is>
      </c>
      <c r="J104" s="48" t="n"/>
      <c r="K104" s="54" t="inlineStr">
        <is>
          <t>Partial</t>
        </is>
      </c>
      <c r="L104" s="52" t="inlineStr">
        <is>
          <t>per-chat tones app/chat.tsx:1016-1029 setChatNotifSound</t>
        </is>
      </c>
      <c r="M104" s="52" t="inlineStr">
        <is>
          <t>Mute is boolean (chatService.ts:1137); no 8h/1w/Always durations</t>
        </is>
      </c>
      <c r="N104" s="27" t="inlineStr">
        <is>
          <t>2026-07-09 vs source</t>
        </is>
      </c>
    </row>
    <row r="105" ht="23.85" customHeight="1" s="28">
      <c r="A105" s="46" t="inlineStr">
        <is>
          <t>VC-104</t>
        </is>
      </c>
      <c r="B105" s="62" t="inlineStr">
        <is>
          <t>UX</t>
        </is>
      </c>
      <c r="C105" s="48" t="inlineStr">
        <is>
          <t>Voice</t>
        </is>
      </c>
      <c r="D105" s="48" t="inlineStr">
        <is>
          <t>Consecutive voice-note autoplay + proximity earpiece</t>
        </is>
      </c>
      <c r="E105" s="48" t="inlineStr">
        <is>
          <t>Auto-advance queued voice notes; proximity sensor switches speaker-&gt;earpiece.</t>
        </is>
      </c>
      <c r="F105" s="48" t="inlineStr">
        <is>
          <t>Voice note UX</t>
        </is>
      </c>
      <c r="G105" s="55" t="inlineStr">
        <is>
          <t>P2</t>
        </is>
      </c>
      <c r="H105" s="50" t="inlineStr">
        <is>
          <t>M</t>
        </is>
      </c>
      <c r="I105" s="48" t="inlineStr">
        <is>
          <t>Later</t>
        </is>
      </c>
      <c r="J105" s="48" t="n"/>
      <c r="K105" s="56" t="inlineStr">
        <is>
          <t>Not Started</t>
        </is>
      </c>
      <c r="L105" s="52" t="inlineStr">
        <is>
          <t>no proximity sensor or voice-note autoplay code</t>
        </is>
      </c>
      <c r="M105" s="52" t="inlineStr">
        <is>
          <t>Absent</t>
        </is>
      </c>
      <c r="N105" s="27" t="inlineStr">
        <is>
          <t>2026-07-09 vs source</t>
        </is>
      </c>
    </row>
    <row r="106" ht="15" customHeight="1" s="28">
      <c r="A106" s="46" t="inlineStr">
        <is>
          <t>VC-105</t>
        </is>
      </c>
      <c r="B106" s="62" t="inlineStr">
        <is>
          <t>UX</t>
        </is>
      </c>
      <c r="C106" s="48" t="inlineStr">
        <is>
          <t>Privacy UX</t>
        </is>
      </c>
      <c r="D106" s="48" t="inlineStr">
        <is>
          <t>Read-receipt reciprocity</t>
        </is>
      </c>
      <c r="E106" s="48" t="inlineStr">
        <is>
          <t>Disabling read receipts hides both directions (except groups).</t>
        </is>
      </c>
      <c r="F106" s="48" t="inlineStr">
        <is>
          <t>Reciprocity rule</t>
        </is>
      </c>
      <c r="G106" s="53" t="inlineStr">
        <is>
          <t>P1</t>
        </is>
      </c>
      <c r="H106" s="50" t="inlineStr">
        <is>
          <t>S</t>
        </is>
      </c>
      <c r="I106" s="48" t="inlineStr">
        <is>
          <t>Track A</t>
        </is>
      </c>
      <c r="J106" s="48" t="n"/>
      <c r="K106" s="54" t="inlineStr">
        <is>
          <t>Partial</t>
        </is>
      </c>
      <c r="L106" s="52" t="inlineStr">
        <is>
          <t>global toggle app/notifications.tsx:21; per-contact hideRead app/receipt-control.tsx:68-88</t>
        </is>
      </c>
      <c r="M106" s="52" t="inlineStr">
        <is>
          <t>No reciprocity enforcement (hide both directions) and no group exception</t>
        </is>
      </c>
      <c r="N106" s="27" t="inlineStr">
        <is>
          <t>2026-07-09 vs source</t>
        </is>
      </c>
    </row>
    <row r="107" ht="23.85" customHeight="1" s="28">
      <c r="A107" s="46" t="inlineStr">
        <is>
          <t>VC-106</t>
        </is>
      </c>
      <c r="B107" s="62" t="inlineStr">
        <is>
          <t>UX</t>
        </is>
      </c>
      <c r="C107" s="48" t="inlineStr">
        <is>
          <t>Privacy UX</t>
        </is>
      </c>
      <c r="D107" s="48" t="inlineStr">
        <is>
          <t>Disappearing messages timer</t>
        </is>
      </c>
      <c r="E107" s="48" t="inlineStr">
        <is>
          <t>Off/24h/7d/90d; timer change is an E2EE control message; applies to new messages; local deletion job.</t>
        </is>
      </c>
      <c r="F107" s="48" t="inlineStr">
        <is>
          <t>Disappearing messages</t>
        </is>
      </c>
      <c r="G107" s="53" t="inlineStr">
        <is>
          <t>P1</t>
        </is>
      </c>
      <c r="H107" s="50" t="inlineStr">
        <is>
          <t>M</t>
        </is>
      </c>
      <c r="I107" s="48" t="inlineStr">
        <is>
          <t>Track F</t>
        </is>
      </c>
      <c r="J107" s="48" t="n"/>
      <c r="K107" s="54" t="inlineStr">
        <is>
          <t>Partial</t>
        </is>
      </c>
      <c r="L107" s="52" t="inlineStr">
        <is>
          <t>picker app/chat.tsx:1031-1055; setDisappearing chatService.ts:979; expires_at localDb.ts:74</t>
        </is>
      </c>
      <c r="M107" s="52" t="inlineStr">
        <is>
          <t>Sent as plain REST not an E2EE control message; NO local purge job (getCachedMessages never filters expires_at)</t>
        </is>
      </c>
      <c r="N107" s="27" t="inlineStr">
        <is>
          <t>2026-07-09 vs source</t>
        </is>
      </c>
    </row>
    <row r="108" ht="15" customHeight="1" s="28">
      <c r="A108" s="46" t="inlineStr">
        <is>
          <t>VC-107</t>
        </is>
      </c>
      <c r="B108" s="62" t="inlineStr">
        <is>
          <t>UX</t>
        </is>
      </c>
      <c r="C108" s="48" t="inlineStr">
        <is>
          <t>Privacy UX</t>
        </is>
      </c>
      <c r="D108" s="48" t="inlineStr">
        <is>
          <t>Chat lock + app lock (biometric)</t>
        </is>
      </c>
      <c r="E108" s="48" t="inlineStr">
        <is>
          <t>Locked folder gated by biometric; app-level lock; local only.</t>
        </is>
      </c>
      <c r="F108" s="48" t="inlineStr">
        <is>
          <t>Chat/app lock</t>
        </is>
      </c>
      <c r="G108" s="55" t="inlineStr">
        <is>
          <t>P2</t>
        </is>
      </c>
      <c r="H108" s="50" t="inlineStr">
        <is>
          <t>M</t>
        </is>
      </c>
      <c r="I108" s="48" t="inlineStr">
        <is>
          <t>Later</t>
        </is>
      </c>
      <c r="J108" s="48" t="n"/>
      <c r="K108" s="51" t="inlineStr">
        <is>
          <t>Done</t>
        </is>
      </c>
      <c r="L108" s="52" t="inlineStr">
        <is>
          <t>lib/chatLock.ts:29-81 biometric+hashed PIN; app-lock gate app/index.tsx:22-23</t>
        </is>
      </c>
      <c r="M108" s="52" t="inlineStr"/>
      <c r="N108" s="27" t="inlineStr">
        <is>
          <t>2026-07-09 vs source</t>
        </is>
      </c>
    </row>
    <row r="109" ht="23.85" customHeight="1" s="28">
      <c r="A109" s="46" t="inlineStr">
        <is>
          <t>VC-108</t>
        </is>
      </c>
      <c r="B109" s="62" t="inlineStr">
        <is>
          <t>UX</t>
        </is>
      </c>
      <c r="C109" s="48" t="inlineStr">
        <is>
          <t>Personalization</t>
        </is>
      </c>
      <c r="D109" s="48" t="inlineStr">
        <is>
          <t>Per-chat wallpaper + theme</t>
        </is>
      </c>
      <c r="E109" s="48" t="inlineStr">
        <is>
          <t>Global theme + per-chat override; Obsidian Aurora design tokens.</t>
        </is>
      </c>
      <c r="F109" s="48" t="inlineStr">
        <is>
          <t>Chat theme/wallpaper</t>
        </is>
      </c>
      <c r="G109" s="59" t="inlineStr">
        <is>
          <t>P3</t>
        </is>
      </c>
      <c r="H109" s="50" t="inlineStr">
        <is>
          <t>S</t>
        </is>
      </c>
      <c r="I109" s="48" t="inlineStr">
        <is>
          <t>Later</t>
        </is>
      </c>
      <c r="J109" s="48" t="n"/>
      <c r="K109" s="51" t="inlineStr">
        <is>
          <t>Done</t>
        </is>
      </c>
      <c r="L109" s="52" t="inlineStr">
        <is>
          <t>per-chat wallpaper app/chat.tsx:1852-1860; per-chat theme 2076</t>
        </is>
      </c>
      <c r="M109" s="52" t="inlineStr"/>
      <c r="N109" s="27" t="inlineStr">
        <is>
          <t>2026-07-09 vs source</t>
        </is>
      </c>
    </row>
    <row r="110" ht="35.05" customHeight="1" s="28">
      <c r="A110" s="46" t="inlineStr">
        <is>
          <t>VC-109</t>
        </is>
      </c>
      <c r="B110" s="62" t="inlineStr">
        <is>
          <t>UX</t>
        </is>
      </c>
      <c r="C110" s="48" t="inlineStr">
        <is>
          <t>Reliability</t>
        </is>
      </c>
      <c r="D110" s="48" t="inlineStr">
        <is>
          <t>Battery-exemption onboarding (OEM flows)</t>
        </is>
      </c>
      <c r="E110" s="48" t="inlineStr">
        <is>
          <t>Guided whitelist flows for Xiaomi/Oppo/Vivo/Realme/Honor/Samsung; reuse call-reliability track work; critical for background delivery in India.</t>
        </is>
      </c>
      <c r="F110" s="48" t="inlineStr">
        <is>
          <t>OEM battery workarounds</t>
        </is>
      </c>
      <c r="G110" s="49" t="inlineStr">
        <is>
          <t>P0</t>
        </is>
      </c>
      <c r="H110" s="50" t="inlineStr">
        <is>
          <t>M</t>
        </is>
      </c>
      <c r="I110" s="48" t="inlineStr">
        <is>
          <t>Track A</t>
        </is>
      </c>
      <c r="J110" s="48" t="n"/>
      <c r="K110" s="51" t="inlineStr">
        <is>
          <t>Done</t>
        </is>
      </c>
      <c r="L110" s="52" t="inlineStr">
        <is>
          <t>lib/batteryOptimization.ts:36-153 OEM autostart + ignore-battery-opt; surfaced settings.tsx:341</t>
        </is>
      </c>
      <c r="M110" s="52" t="inlineStr">
        <is>
          <t>Reached from Settings/Call-reliability rather than a strict first-run onboarding</t>
        </is>
      </c>
      <c r="N110" s="27" t="inlineStr">
        <is>
          <t>2026-07-09 vs source</t>
        </is>
      </c>
    </row>
    <row r="111" ht="23.85" customHeight="1" s="28">
      <c r="A111" s="46" t="inlineStr">
        <is>
          <t>VC-110</t>
        </is>
      </c>
      <c r="B111" s="62" t="inlineStr">
        <is>
          <t>UX</t>
        </is>
      </c>
      <c r="C111" s="48" t="inlineStr">
        <is>
          <t>Reliability</t>
        </is>
      </c>
      <c r="D111" s="48" t="inlineStr">
        <is>
          <t>Full offline compose UX</t>
        </is>
      </c>
      <c r="E111" s="48" t="inlineStr">
        <is>
          <t>Compose/queue anything offline; clear pending indicators; auto-flush on reconnect; airplane-mode test suite.</t>
        </is>
      </c>
      <c r="F111" s="48" t="inlineStr">
        <is>
          <t>Offline-first behavior</t>
        </is>
      </c>
      <c r="G111" s="49" t="inlineStr">
        <is>
          <t>P0</t>
        </is>
      </c>
      <c r="H111" s="50" t="inlineStr">
        <is>
          <t>M</t>
        </is>
      </c>
      <c r="I111" s="48" t="inlineStr">
        <is>
          <t>Track A</t>
        </is>
      </c>
      <c r="J111" s="48" t="inlineStr">
        <is>
          <t>Outbound queue</t>
        </is>
      </c>
      <c r="K111" s="54" t="inlineStr">
        <is>
          <t>Partial</t>
        </is>
      </c>
      <c r="L111" s="52" t="inlineStr">
        <is>
          <t>messageQueue.ts:84-107,212-228 persistent queue + auto-flush; pending bubbles chat.tsx:421-437</t>
        </is>
      </c>
      <c r="M111" s="52" t="inlineStr">
        <is>
          <t>Queue is TEXT-ONLY by design (messageQueue.ts:14-16); media/files are not offline-queued</t>
        </is>
      </c>
      <c r="N111" s="27" t="inlineStr">
        <is>
          <t>2026-07-09 vs source</t>
        </is>
      </c>
    </row>
    <row r="112" ht="15" customHeight="1" s="28">
      <c r="A112" s="46" t="inlineStr">
        <is>
          <t>VC-111</t>
        </is>
      </c>
      <c r="B112" s="62" t="inlineStr">
        <is>
          <t>UX</t>
        </is>
      </c>
      <c r="C112" s="48" t="inlineStr">
        <is>
          <t>Reliability</t>
        </is>
      </c>
      <c r="D112" s="48" t="inlineStr">
        <is>
          <t>Media retry/download affordances</t>
        </is>
      </c>
      <c r="E112" s="48" t="inlineStr">
        <is>
          <t>Failed upload/download shows retry with size label; resumable.</t>
        </is>
      </c>
      <c r="F112" s="48" t="inlineStr">
        <is>
          <t>Retry overlay</t>
        </is>
      </c>
      <c r="G112" s="53" t="inlineStr">
        <is>
          <t>P1</t>
        </is>
      </c>
      <c r="H112" s="50" t="inlineStr">
        <is>
          <t>S</t>
        </is>
      </c>
      <c r="I112" s="48" t="inlineStr">
        <is>
          <t>Track E</t>
        </is>
      </c>
      <c r="J112" s="48" t="n"/>
      <c r="K112" s="54" t="inlineStr">
        <is>
          <t>Partial</t>
        </is>
      </c>
      <c r="L112" s="52" t="inlineStr">
        <is>
          <t>failed send retry chat.tsx:839-844; media retry :1435; size pill FileBubble :1549</t>
        </is>
      </c>
      <c r="M112" s="52" t="inlineStr">
        <is>
          <t>Media download not resumable (transferManager.ts unused for media); no size label on the download affordance</t>
        </is>
      </c>
      <c r="N112" s="27" t="inlineStr">
        <is>
          <t>2026-07-09 vs source</t>
        </is>
      </c>
    </row>
    <row r="113" ht="23.85" customHeight="1" s="28">
      <c r="A113" s="46" t="inlineStr">
        <is>
          <t>VC-112</t>
        </is>
      </c>
      <c r="B113" s="62" t="inlineStr">
        <is>
          <t>UX</t>
        </is>
      </c>
      <c r="C113" s="48" t="inlineStr">
        <is>
          <t>Accessibility</t>
        </is>
      </c>
      <c r="D113" s="48" t="inlineStr">
        <is>
          <t>Font scaling + a11y labels</t>
        </is>
      </c>
      <c r="E113" s="48" t="inlineStr">
        <is>
          <t>System font scale respected in bubbles; TalkBack labels on all controls.</t>
        </is>
      </c>
      <c r="F113" s="48" t="inlineStr">
        <is>
          <t>Font size setting</t>
        </is>
      </c>
      <c r="G113" s="55" t="inlineStr">
        <is>
          <t>P2</t>
        </is>
      </c>
      <c r="H113" s="50" t="inlineStr">
        <is>
          <t>M</t>
        </is>
      </c>
      <c r="I113" s="48" t="inlineStr">
        <is>
          <t>Later</t>
        </is>
      </c>
      <c r="J113" s="48" t="n"/>
      <c r="K113" s="56" t="inlineStr">
        <is>
          <t>Not Started</t>
        </is>
      </c>
      <c r="L113" s="52" t="inlineStr">
        <is>
          <t>0 matches for accessibilityLabel/accessibilityRole/allowFontScaling in app/*.tsx</t>
        </is>
      </c>
      <c r="M113" s="52" t="inlineStr">
        <is>
          <t>No TalkBack labels; no deliberate bubble font-scaling handling</t>
        </is>
      </c>
      <c r="N113" s="27" t="inlineStr">
        <is>
          <t>2026-07-09 vs source</t>
        </is>
      </c>
    </row>
  </sheetData>
  <autoFilter ref="A1:K113"/>
  <dataValidations count="2">
    <dataValidation sqref="K2:K113" showDropDown="0" showInputMessage="0" showErrorMessage="0" allowBlank="0" type="list" errorStyle="stop" operator="between">
      <formula1>"Not Started,In Progress,Blocked,Done"</formula1>
      <formula2>0</formula2>
    </dataValidation>
    <dataValidation sqref="G2:G113" showDropDown="0" showInputMessage="0" showErrorMessage="0" allowBlank="0" type="list" errorStyle="stop" operator="between">
      <formula1>"P0,P1,P2,P3"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2026-07-08T21:37:21Z</dcterms:created>
  <dcterms:modified xmlns:dcterms="http://purl.org/dc/terms/" xmlns:xsi="http://www.w3.org/2001/XMLSchema-instance" xsi:type="dcterms:W3CDTF">2026-07-11T08:57:42Z</dcterms:modified>
  <cp:revision>0</cp:revision>
</cp:coreProperties>
</file>